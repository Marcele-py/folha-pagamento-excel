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arce\OneDrive\Área de Trabalho\EXCEL\1. PORTIFÓLIO\"/>
    </mc:Choice>
  </mc:AlternateContent>
  <xr:revisionPtr revIDLastSave="0" documentId="13_ncr:1_{2FB3FD56-CA22-4D53-B062-7AF9B3F02854}" xr6:coauthVersionLast="47" xr6:coauthVersionMax="47" xr10:uidLastSave="{00000000-0000-0000-0000-000000000000}"/>
  <bookViews>
    <workbookView xWindow="-108" yWindow="-108" windowWidth="23256" windowHeight="12456" xr2:uid="{F49CAE85-65CF-4B86-917D-CEB06523A095}"/>
  </bookViews>
  <sheets>
    <sheet name="CADASTRO DE FUNCIONÁRIOS" sheetId="1" r:id="rId1"/>
    <sheet name="CÁLCULO" sheetId="2" r:id="rId2"/>
    <sheet name="DASHBOARD" sheetId="4" r:id="rId3"/>
    <sheet name="GRÁFICOS" sheetId="5" state="hidden" r:id="rId4"/>
  </sheets>
  <definedNames>
    <definedName name="Cadastro">Tabela1[]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2" l="1"/>
  <c r="J7" i="2"/>
  <c r="J8" i="2"/>
  <c r="J9" i="2"/>
  <c r="J10" i="2"/>
  <c r="J11" i="2"/>
  <c r="J12" i="2"/>
  <c r="J13" i="2"/>
  <c r="J15" i="2"/>
  <c r="J16" i="2"/>
  <c r="J17" i="2"/>
  <c r="J18" i="2"/>
  <c r="J19" i="2"/>
  <c r="J20" i="2"/>
  <c r="J21" i="2"/>
  <c r="J22" i="2"/>
  <c r="J24" i="2"/>
  <c r="J25" i="2"/>
  <c r="J26" i="2"/>
  <c r="J27" i="2"/>
  <c r="J28" i="2"/>
  <c r="J29" i="2"/>
  <c r="J30" i="2"/>
  <c r="J31" i="2"/>
  <c r="J33" i="2"/>
  <c r="J34" i="2"/>
  <c r="J35" i="2"/>
  <c r="J36" i="2"/>
  <c r="J37" i="2"/>
  <c r="J38" i="2"/>
  <c r="J39" i="2"/>
  <c r="J40" i="2"/>
  <c r="J42" i="2"/>
  <c r="J43" i="2"/>
  <c r="J44" i="2"/>
  <c r="J45" i="2"/>
  <c r="J46" i="2"/>
  <c r="J47" i="2"/>
  <c r="J48" i="2"/>
  <c r="J49" i="2"/>
  <c r="J51" i="2"/>
  <c r="J52" i="2"/>
  <c r="J53" i="2"/>
  <c r="J54" i="2"/>
  <c r="J55" i="2"/>
  <c r="J56" i="2"/>
  <c r="J57" i="2"/>
  <c r="J58" i="2"/>
  <c r="J60" i="2"/>
  <c r="J61" i="2"/>
  <c r="J62" i="2"/>
  <c r="J63" i="2"/>
  <c r="J64" i="2"/>
  <c r="J65" i="2"/>
  <c r="J66" i="2"/>
  <c r="J67" i="2"/>
  <c r="J69" i="2"/>
  <c r="J70" i="2"/>
  <c r="J71" i="2"/>
  <c r="J72" i="2"/>
  <c r="J73" i="2"/>
  <c r="J74" i="2"/>
  <c r="J75" i="2"/>
  <c r="J76" i="2"/>
  <c r="J78" i="2"/>
  <c r="J79" i="2"/>
  <c r="J80" i="2"/>
  <c r="J81" i="2"/>
  <c r="J82" i="2"/>
  <c r="J83" i="2"/>
  <c r="J84" i="2"/>
  <c r="J85" i="2"/>
  <c r="J87" i="2"/>
  <c r="J88" i="2"/>
  <c r="J89" i="2"/>
  <c r="J90" i="2"/>
  <c r="J91" i="2"/>
  <c r="J92" i="2"/>
  <c r="J93" i="2"/>
  <c r="J94" i="2"/>
  <c r="J96" i="2"/>
  <c r="J97" i="2"/>
  <c r="J98" i="2"/>
  <c r="J99" i="2"/>
  <c r="J100" i="2"/>
  <c r="J101" i="2"/>
  <c r="J102" i="2"/>
  <c r="J103" i="2"/>
  <c r="J105" i="2"/>
  <c r="J106" i="2"/>
  <c r="J107" i="2"/>
  <c r="J108" i="2"/>
  <c r="J109" i="2"/>
  <c r="J110" i="2"/>
  <c r="J111" i="2"/>
  <c r="J112" i="2"/>
  <c r="E6" i="2" l="1"/>
  <c r="K6" i="2" s="1"/>
  <c r="E7" i="2"/>
  <c r="K7" i="2" s="1"/>
  <c r="E8" i="2"/>
  <c r="K8" i="2" s="1"/>
  <c r="E9" i="2"/>
  <c r="K9" i="2" s="1"/>
  <c r="E10" i="2"/>
  <c r="K10" i="2" s="1"/>
  <c r="E11" i="2"/>
  <c r="K11" i="2" s="1"/>
  <c r="E12" i="2"/>
  <c r="K12" i="2" s="1"/>
  <c r="E13" i="2"/>
  <c r="K13" i="2" s="1"/>
  <c r="E14" i="2"/>
  <c r="E15" i="2"/>
  <c r="K15" i="2" s="1"/>
  <c r="E16" i="2"/>
  <c r="K16" i="2" s="1"/>
  <c r="E17" i="2"/>
  <c r="K17" i="2" s="1"/>
  <c r="E18" i="2"/>
  <c r="K18" i="2" s="1"/>
  <c r="E19" i="2"/>
  <c r="K19" i="2" s="1"/>
  <c r="E20" i="2"/>
  <c r="K20" i="2" s="1"/>
  <c r="E21" i="2"/>
  <c r="K21" i="2" s="1"/>
  <c r="E22" i="2"/>
  <c r="K22" i="2" s="1"/>
  <c r="E23" i="2"/>
  <c r="E24" i="2"/>
  <c r="K24" i="2" s="1"/>
  <c r="E25" i="2"/>
  <c r="K25" i="2" s="1"/>
  <c r="E26" i="2"/>
  <c r="K26" i="2" s="1"/>
  <c r="E27" i="2"/>
  <c r="K27" i="2" s="1"/>
  <c r="E28" i="2"/>
  <c r="K28" i="2" s="1"/>
  <c r="E29" i="2"/>
  <c r="K29" i="2" s="1"/>
  <c r="E30" i="2"/>
  <c r="K30" i="2" s="1"/>
  <c r="E31" i="2"/>
  <c r="K31" i="2" s="1"/>
  <c r="E32" i="2"/>
  <c r="E33" i="2"/>
  <c r="K33" i="2" s="1"/>
  <c r="E34" i="2"/>
  <c r="K34" i="2" s="1"/>
  <c r="E35" i="2"/>
  <c r="K35" i="2" s="1"/>
  <c r="E36" i="2"/>
  <c r="K36" i="2" s="1"/>
  <c r="E37" i="2"/>
  <c r="K37" i="2" s="1"/>
  <c r="E38" i="2"/>
  <c r="K38" i="2" s="1"/>
  <c r="E39" i="2"/>
  <c r="K39" i="2" s="1"/>
  <c r="E40" i="2"/>
  <c r="K40" i="2" s="1"/>
  <c r="E41" i="2"/>
  <c r="E42" i="2"/>
  <c r="K42" i="2" s="1"/>
  <c r="E43" i="2"/>
  <c r="K43" i="2" s="1"/>
  <c r="E44" i="2"/>
  <c r="K44" i="2" s="1"/>
  <c r="E45" i="2"/>
  <c r="K45" i="2" s="1"/>
  <c r="E46" i="2"/>
  <c r="K46" i="2" s="1"/>
  <c r="E47" i="2"/>
  <c r="K47" i="2" s="1"/>
  <c r="E48" i="2"/>
  <c r="K48" i="2" s="1"/>
  <c r="E49" i="2"/>
  <c r="K49" i="2" s="1"/>
  <c r="E50" i="2"/>
  <c r="E51" i="2"/>
  <c r="K51" i="2" s="1"/>
  <c r="E52" i="2"/>
  <c r="K52" i="2" s="1"/>
  <c r="E53" i="2"/>
  <c r="K53" i="2" s="1"/>
  <c r="E54" i="2"/>
  <c r="K54" i="2" s="1"/>
  <c r="E55" i="2"/>
  <c r="K55" i="2" s="1"/>
  <c r="E56" i="2"/>
  <c r="K56" i="2" s="1"/>
  <c r="E57" i="2"/>
  <c r="K57" i="2" s="1"/>
  <c r="E58" i="2"/>
  <c r="K58" i="2" s="1"/>
  <c r="E59" i="2"/>
  <c r="E60" i="2"/>
  <c r="K60" i="2" s="1"/>
  <c r="E61" i="2"/>
  <c r="K61" i="2" s="1"/>
  <c r="E62" i="2"/>
  <c r="K62" i="2" s="1"/>
  <c r="E63" i="2"/>
  <c r="K63" i="2" s="1"/>
  <c r="E64" i="2"/>
  <c r="K64" i="2" s="1"/>
  <c r="E65" i="2"/>
  <c r="K65" i="2" s="1"/>
  <c r="E66" i="2"/>
  <c r="K66" i="2" s="1"/>
  <c r="E67" i="2"/>
  <c r="K67" i="2" s="1"/>
  <c r="E68" i="2"/>
  <c r="E69" i="2"/>
  <c r="K69" i="2" s="1"/>
  <c r="E70" i="2"/>
  <c r="K70" i="2" s="1"/>
  <c r="E71" i="2"/>
  <c r="K71" i="2" s="1"/>
  <c r="E72" i="2"/>
  <c r="K72" i="2" s="1"/>
  <c r="E73" i="2"/>
  <c r="K73" i="2" s="1"/>
  <c r="E74" i="2"/>
  <c r="K74" i="2" s="1"/>
  <c r="E75" i="2"/>
  <c r="K75" i="2" s="1"/>
  <c r="E76" i="2"/>
  <c r="K76" i="2" s="1"/>
  <c r="E77" i="2"/>
  <c r="E78" i="2"/>
  <c r="K78" i="2" s="1"/>
  <c r="E79" i="2"/>
  <c r="K79" i="2" s="1"/>
  <c r="E80" i="2"/>
  <c r="K80" i="2" s="1"/>
  <c r="E81" i="2"/>
  <c r="K81" i="2" s="1"/>
  <c r="E82" i="2"/>
  <c r="K82" i="2" s="1"/>
  <c r="E83" i="2"/>
  <c r="K83" i="2" s="1"/>
  <c r="E84" i="2"/>
  <c r="K84" i="2" s="1"/>
  <c r="E85" i="2"/>
  <c r="K85" i="2" s="1"/>
  <c r="E86" i="2"/>
  <c r="E87" i="2"/>
  <c r="K87" i="2" s="1"/>
  <c r="E88" i="2"/>
  <c r="K88" i="2" s="1"/>
  <c r="E89" i="2"/>
  <c r="K89" i="2" s="1"/>
  <c r="E90" i="2"/>
  <c r="K90" i="2" s="1"/>
  <c r="E91" i="2"/>
  <c r="K91" i="2" s="1"/>
  <c r="E92" i="2"/>
  <c r="K92" i="2" s="1"/>
  <c r="E93" i="2"/>
  <c r="K93" i="2" s="1"/>
  <c r="E94" i="2"/>
  <c r="K94" i="2" s="1"/>
  <c r="E95" i="2"/>
  <c r="E96" i="2"/>
  <c r="K96" i="2" s="1"/>
  <c r="E97" i="2"/>
  <c r="K97" i="2" s="1"/>
  <c r="E98" i="2"/>
  <c r="K98" i="2" s="1"/>
  <c r="E99" i="2"/>
  <c r="K99" i="2" s="1"/>
  <c r="E100" i="2"/>
  <c r="K100" i="2" s="1"/>
  <c r="E101" i="2"/>
  <c r="K101" i="2" s="1"/>
  <c r="E102" i="2"/>
  <c r="K102" i="2" s="1"/>
  <c r="E103" i="2"/>
  <c r="K103" i="2" s="1"/>
  <c r="E104" i="2"/>
  <c r="E105" i="2"/>
  <c r="K105" i="2" s="1"/>
  <c r="E106" i="2"/>
  <c r="K106" i="2" s="1"/>
  <c r="E107" i="2"/>
  <c r="K107" i="2" s="1"/>
  <c r="E108" i="2"/>
  <c r="K108" i="2" s="1"/>
  <c r="E109" i="2"/>
  <c r="K109" i="2" s="1"/>
  <c r="E110" i="2"/>
  <c r="K110" i="2" s="1"/>
  <c r="E111" i="2"/>
  <c r="K111" i="2" s="1"/>
  <c r="E112" i="2"/>
  <c r="K112" i="2" s="1"/>
  <c r="E5" i="2"/>
  <c r="F5" i="1" l="1"/>
  <c r="F6" i="1"/>
  <c r="F7" i="1"/>
  <c r="F8" i="1"/>
  <c r="F9" i="1"/>
  <c r="F10" i="1"/>
  <c r="F11" i="1"/>
  <c r="F12" i="1"/>
  <c r="F13" i="1"/>
  <c r="J41" i="2" l="1"/>
  <c r="K41" i="2" s="1"/>
  <c r="J50" i="2"/>
  <c r="K50" i="2" s="1"/>
  <c r="J59" i="2"/>
  <c r="K59" i="2" s="1"/>
  <c r="J68" i="2"/>
  <c r="K68" i="2" s="1"/>
  <c r="J5" i="2"/>
  <c r="K5" i="2" s="1"/>
  <c r="J77" i="2"/>
  <c r="K77" i="2" s="1"/>
  <c r="J14" i="2"/>
  <c r="K14" i="2" s="1"/>
  <c r="J86" i="2"/>
  <c r="K86" i="2" s="1"/>
  <c r="J23" i="2"/>
  <c r="K23" i="2" s="1"/>
  <c r="J95" i="2"/>
  <c r="K95" i="2" s="1"/>
  <c r="J32" i="2"/>
  <c r="K32" i="2" s="1"/>
  <c r="J104" i="2"/>
  <c r="K104" i="2" s="1"/>
</calcChain>
</file>

<file path=xl/sharedStrings.xml><?xml version="1.0" encoding="utf-8"?>
<sst xmlns="http://schemas.openxmlformats.org/spreadsheetml/2006/main" count="262" uniqueCount="76">
  <si>
    <t>Cadastro de funcionários</t>
  </si>
  <si>
    <t>Funcionário</t>
  </si>
  <si>
    <t>Cargo</t>
  </si>
  <si>
    <t>Departamento</t>
  </si>
  <si>
    <t>Salário bruto</t>
  </si>
  <si>
    <t>Regime de contratação</t>
  </si>
  <si>
    <t>Valor hora extra</t>
  </si>
  <si>
    <t>Coordenador</t>
  </si>
  <si>
    <t>Especialista</t>
  </si>
  <si>
    <t>Analista sênior</t>
  </si>
  <si>
    <t>Analista</t>
  </si>
  <si>
    <t>Estagiário</t>
  </si>
  <si>
    <t>Jovem aprendiz</t>
  </si>
  <si>
    <t>Operações</t>
  </si>
  <si>
    <t>Finanças</t>
  </si>
  <si>
    <t>Logistica</t>
  </si>
  <si>
    <t>Recursos Humanos</t>
  </si>
  <si>
    <t>Marketing</t>
  </si>
  <si>
    <t>PJ</t>
  </si>
  <si>
    <t>CLT</t>
  </si>
  <si>
    <t>Estágio</t>
  </si>
  <si>
    <t>Diretora</t>
  </si>
  <si>
    <t>Katarina Damasceno</t>
  </si>
  <si>
    <t>Jorge Henrique Martins</t>
  </si>
  <si>
    <t>Mariana Dias</t>
  </si>
  <si>
    <t>Leonargo Rangel</t>
  </si>
  <si>
    <t>Luana Silva</t>
  </si>
  <si>
    <t>Thiago Gonçalves</t>
  </si>
  <si>
    <t>Lucas da Rocha</t>
  </si>
  <si>
    <t>Maria Julia Ribeiro</t>
  </si>
  <si>
    <t>Secretária</t>
  </si>
  <si>
    <t>Liliam da Silva Prado</t>
  </si>
  <si>
    <t>Auxiliar administrativo</t>
  </si>
  <si>
    <t>Folha de pagamentos</t>
  </si>
  <si>
    <t>Funcionários</t>
  </si>
  <si>
    <t>Competência</t>
  </si>
  <si>
    <t>Data do pagamento</t>
  </si>
  <si>
    <t>Quantidade HE</t>
  </si>
  <si>
    <t>Desconto transporte</t>
  </si>
  <si>
    <t>Desconto IR</t>
  </si>
  <si>
    <t>Desconto INSS</t>
  </si>
  <si>
    <t>Outros descontos</t>
  </si>
  <si>
    <t>Valor da hora extra</t>
  </si>
  <si>
    <t>Salário líquido</t>
  </si>
  <si>
    <t>Total Geral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</si>
  <si>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</si>
  <si>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</si>
  <si>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</si>
  <si>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</si>
  <si>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</si>
  <si>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</si>
  <si>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</si>
  <si>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</si>
  <si>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</si>
  <si>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</si>
  <si>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</si>
  <si>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</si>
  <si>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Salário líquido</t>
  </si>
  <si>
    <t>Meses</t>
  </si>
  <si>
    <t>Soma de Quantidade HE</t>
  </si>
  <si>
    <t>Soma de Desconto INSS</t>
  </si>
  <si>
    <t>Soma de Desconto IR</t>
  </si>
  <si>
    <t>Soma de Desconto transporte</t>
  </si>
  <si>
    <t>01/abr</t>
  </si>
  <si>
    <t>01/mai</t>
  </si>
  <si>
    <t>01/jun</t>
  </si>
  <si>
    <t>Soma de Total de descontos</t>
  </si>
  <si>
    <t>01/jan</t>
  </si>
  <si>
    <t>01/fev</t>
  </si>
  <si>
    <t>01/mar</t>
  </si>
  <si>
    <t>01/jul</t>
  </si>
  <si>
    <t>01/ago</t>
  </si>
  <si>
    <t>01/set</t>
  </si>
  <si>
    <t>01/out</t>
  </si>
  <si>
    <t>01/nov</t>
  </si>
  <si>
    <t>01/dez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</si>
</sst>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&quot;R$&quot;\ #,##0.00"/>
    <numFmt numFmtId="165" formatCode="&quot;R$&quot;\ #,##0"/>
  </numFmts>
  <fonts count="5" x14ac:knownFonts="1">
    <font>
      <sz val="11"/>
      <color theme="1"/>
      <name val="Aptos Narrow"/>
      <family val="2"/>
      <scheme val="minor"/>
    </font>
    <font>
      <b/>
      <sz val="24"/>
      <color theme="0"/>
      <name val="Calibri"/>
      <family val="2"/>
    </font>
    <font>
      <sz val="14"/>
      <color theme="1"/>
      <name val="Aptos Narrow"/>
      <family val="2"/>
      <scheme val="minor"/>
    </font>
    <font>
      <sz val="11"/>
      <color theme="1"/>
      <name val="Montserrat"/>
    </font>
    <font>
      <b/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6553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164" fontId="0" fillId="2" borderId="0" xfId="0" applyNumberFormat="1" applyFill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Font="1" applyAlignment="1">
      <alignment horizontal="left"/>
    </xf>
    <xf numFmtId="164" fontId="0" fillId="0" borderId="0" xfId="0" applyNumberFormat="1" applyFont="1"/>
    <xf numFmtId="165" fontId="0" fillId="0" borderId="0" xfId="0" applyNumberFormat="1"/>
    <xf numFmtId="4" fontId="0" fillId="0" borderId="0" xfId="0" applyNumberFormat="1"/>
    <xf numFmtId="8" fontId="4" fillId="0" borderId="0" xfId="0" applyNumberFormat="1" applyFont="1"/>
  </cellXfs>
  <cellStyles count="1">
    <cellStyle name="Normal" xfId="0" builtinId="0"/>
  </cellStyles>
  <dxfs count="53"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5" formatCode="&quot;R$&quot;\ #,##0"/>
    </dxf>
    <dxf>
      <numFmt numFmtId="164" formatCode="&quot;R$&quot;\ #,##0.00"/>
    </dxf>
    <dxf>
      <numFmt numFmtId="164" formatCode="&quot;R$&quot;\ #,##0.0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numFmt numFmtId="164" formatCode="&quot;R$&quot;\ #,##0.00"/>
    </dxf>
    <dxf>
      <numFmt numFmtId="164" formatCode="&quot;R$&quot;\ #,##0.0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65535"/>
        </patternFill>
      </fill>
      <alignment horizontal="center" vertical="center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&quot;R$&quot;\ 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fill>
        <patternFill patternType="solid">
          <fgColor indexed="64"/>
          <bgColor rgb="FF06553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65535"/>
      <color rgb="FF3CEC51"/>
      <color rgb="FF2A623D"/>
      <color rgb="FF1333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FOLHA DE PAGAMENTO DE FUNCIONÁRIO.xlsx]GRÁFICOS!Tabela dinâmica9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ysClr val="windowText" lastClr="000000"/>
                </a:solidFill>
              </a:rPr>
              <a:t>Total gasto em descontos</a:t>
            </a:r>
          </a:p>
        </c:rich>
      </c:tx>
      <c:layout>
        <c:manualLayout>
          <c:xMode val="edge"/>
          <c:yMode val="edge"/>
          <c:x val="2.2958758062218967E-3"/>
          <c:y val="1.85186673094434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lumMod val="50000"/>
                  <a:shade val="30000"/>
                  <a:satMod val="115000"/>
                </a:schemeClr>
              </a:gs>
              <a:gs pos="50000">
                <a:schemeClr val="accent6">
                  <a:lumMod val="50000"/>
                  <a:shade val="67500"/>
                  <a:satMod val="115000"/>
                </a:schemeClr>
              </a:gs>
              <a:gs pos="100000">
                <a:schemeClr val="accent6">
                  <a:lumMod val="50000"/>
                  <a:shade val="100000"/>
                  <a:satMod val="115000"/>
                </a:schemeClr>
              </a:gs>
            </a:gsLst>
            <a:lin ang="189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>
                  <a:lumMod val="50000"/>
                  <a:shade val="30000"/>
                  <a:satMod val="115000"/>
                </a:schemeClr>
              </a:gs>
              <a:gs pos="50000">
                <a:schemeClr val="accent6">
                  <a:lumMod val="50000"/>
                  <a:shade val="67500"/>
                  <a:satMod val="115000"/>
                </a:schemeClr>
              </a:gs>
              <a:gs pos="100000">
                <a:schemeClr val="accent6">
                  <a:lumMod val="50000"/>
                  <a:shade val="100000"/>
                  <a:satMod val="115000"/>
                </a:schemeClr>
              </a:gs>
            </a:gsLst>
            <a:lin ang="189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55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65535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5535"/>
            </a:solidFill>
            <a:ln>
              <a:noFill/>
            </a:ln>
            <a:effectLst/>
          </c:spPr>
          <c:invertIfNegative val="0"/>
          <c:cat>
            <c:strRef>
              <c:f>GRÁFICOS!$A$94:$A$106</c:f>
              <c:strCache>
                <c:ptCount val="12"/>
                <c:pt idx="0">
                  <c:v>01/jan</c:v>
                </c:pt>
                <c:pt idx="1">
                  <c:v>01/fev</c:v>
                </c:pt>
                <c:pt idx="2">
                  <c:v>01/mar</c:v>
                </c:pt>
                <c:pt idx="3">
                  <c:v>01/abr</c:v>
                </c:pt>
                <c:pt idx="4">
                  <c:v>01/mai</c:v>
                </c:pt>
                <c:pt idx="5">
                  <c:v>01/jun</c:v>
                </c:pt>
                <c:pt idx="6">
                  <c:v>01/jul</c:v>
                </c:pt>
                <c:pt idx="7">
                  <c:v>01/ago</c:v>
                </c:pt>
                <c:pt idx="8">
                  <c:v>01/set</c:v>
                </c:pt>
                <c:pt idx="9">
                  <c:v>01/out</c:v>
                </c:pt>
                <c:pt idx="10">
                  <c:v>01/nov</c:v>
                </c:pt>
                <c:pt idx="11">
                  <c:v>01/dez</c:v>
                </c:pt>
              </c:strCache>
            </c:strRef>
          </c:cat>
          <c:val>
            <c:numRef>
              <c:f>GRÁFICOS!$B$94:$B$106</c:f>
              <c:numCache>
                <c:formatCode>"R$"\ #,##0.00</c:formatCode>
                <c:ptCount val="12"/>
                <c:pt idx="0">
                  <c:v>13852</c:v>
                </c:pt>
                <c:pt idx="1">
                  <c:v>13927</c:v>
                </c:pt>
                <c:pt idx="2">
                  <c:v>13839</c:v>
                </c:pt>
                <c:pt idx="3">
                  <c:v>13939</c:v>
                </c:pt>
                <c:pt idx="4">
                  <c:v>13831</c:v>
                </c:pt>
                <c:pt idx="5">
                  <c:v>13769</c:v>
                </c:pt>
                <c:pt idx="6">
                  <c:v>13851</c:v>
                </c:pt>
                <c:pt idx="7">
                  <c:v>13865</c:v>
                </c:pt>
                <c:pt idx="8">
                  <c:v>13797</c:v>
                </c:pt>
                <c:pt idx="9">
                  <c:v>13873</c:v>
                </c:pt>
                <c:pt idx="10">
                  <c:v>13728</c:v>
                </c:pt>
                <c:pt idx="11">
                  <c:v>13957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5-44D6-BAAC-CB9260292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1260292288"/>
        <c:axId val="1260289888"/>
      </c:barChart>
      <c:catAx>
        <c:axId val="126029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0289888"/>
        <c:crosses val="autoZero"/>
        <c:auto val="1"/>
        <c:lblAlgn val="ctr"/>
        <c:lblOffset val="100"/>
        <c:noMultiLvlLbl val="0"/>
      </c:catAx>
      <c:valAx>
        <c:axId val="1260289888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0292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FOLHA DE PAGAMENTO DE FUNCIONÁRIO.xlsx]GRÁFICOS!Tabela dinâmica1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Evolução do salário líquido</a:t>
            </a:r>
          </a:p>
        </c:rich>
      </c:tx>
      <c:layout>
        <c:manualLayout>
          <c:xMode val="edge"/>
          <c:yMode val="edge"/>
          <c:x val="1.1676989309263176E-3"/>
          <c:y val="1.7923464896041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9842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8425" cap="rnd"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66675" cap="rnd">
            <a:gradFill>
              <a:gsLst>
                <a:gs pos="0">
                  <a:schemeClr val="accent6">
                    <a:lumMod val="61000"/>
                    <a:lumOff val="39000"/>
                  </a:schemeClr>
                </a:gs>
                <a:gs pos="100000">
                  <a:srgbClr val="2A623D"/>
                </a:gs>
                <a:gs pos="67000">
                  <a:srgbClr val="065535"/>
                </a:gs>
              </a:gsLst>
              <a:lin ang="5400000" scaled="1"/>
            </a:gra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GRÁFICOS!$B$3</c:f>
              <c:strCache>
                <c:ptCount val="1"/>
                <c:pt idx="0">
                  <c:v>Total</c:v>
                </c:pt>
              </c:strCache>
            </c:strRef>
          </c:tx>
          <c:spPr>
            <a:ln w="66675" cap="rnd">
              <a:gradFill>
                <a:gsLst>
                  <a:gs pos="0">
                    <a:schemeClr val="accent6">
                      <a:lumMod val="61000"/>
                      <a:lumOff val="39000"/>
                    </a:schemeClr>
                  </a:gs>
                  <a:gs pos="100000">
                    <a:srgbClr val="2A623D"/>
                  </a:gs>
                  <a:gs pos="67000">
                    <a:srgbClr val="065535"/>
                  </a:gs>
                </a:gsLst>
                <a:lin ang="5400000" scaled="1"/>
              </a:gradFill>
              <a:round/>
            </a:ln>
            <a:effectLst/>
          </c:spPr>
          <c:marker>
            <c:symbol val="none"/>
          </c:marker>
          <c:cat>
            <c:strRef>
              <c:f>GRÁFICOS!$A$4:$A$16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GRÁFICOS!$B$4:$B$16</c:f>
              <c:numCache>
                <c:formatCode>"R$"\ #,##0.00</c:formatCode>
                <c:ptCount val="12"/>
                <c:pt idx="0">
                  <c:v>35377.090909090912</c:v>
                </c:pt>
                <c:pt idx="1">
                  <c:v>35454.818181818177</c:v>
                </c:pt>
                <c:pt idx="2">
                  <c:v>35399.590909090912</c:v>
                </c:pt>
                <c:pt idx="3">
                  <c:v>35560.545454545456</c:v>
                </c:pt>
                <c:pt idx="4">
                  <c:v>35532.818181818177</c:v>
                </c:pt>
                <c:pt idx="5">
                  <c:v>35569.909090909096</c:v>
                </c:pt>
                <c:pt idx="6">
                  <c:v>35917.590909090904</c:v>
                </c:pt>
                <c:pt idx="7">
                  <c:v>35745.590909090912</c:v>
                </c:pt>
                <c:pt idx="8">
                  <c:v>35639.545454545456</c:v>
                </c:pt>
                <c:pt idx="9">
                  <c:v>35410.954545454544</c:v>
                </c:pt>
                <c:pt idx="10">
                  <c:v>35122.909090909096</c:v>
                </c:pt>
                <c:pt idx="11">
                  <c:v>35569.272727272728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F81-495C-9E73-E0FA37624E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703040"/>
        <c:axId val="1264712160"/>
      </c:lineChart>
      <c:catAx>
        <c:axId val="126470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4712160"/>
        <c:crosses val="autoZero"/>
        <c:auto val="1"/>
        <c:lblAlgn val="ctr"/>
        <c:lblOffset val="100"/>
        <c:noMultiLvlLbl val="0"/>
      </c:catAx>
      <c:valAx>
        <c:axId val="126471216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470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FOLHA DE PAGAMENTO DE FUNCIONÁRIO.xlsx]GRÁFICOS!Tabela dinâmica3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Total de horas extras por funcionário</a:t>
            </a:r>
          </a:p>
        </c:rich>
      </c:tx>
      <c:layout>
        <c:manualLayout>
          <c:xMode val="edge"/>
          <c:yMode val="edge"/>
          <c:x val="2.2662279155404079E-2"/>
          <c:y val="6.68783337566675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6">
                  <a:lumMod val="60000"/>
                  <a:lumOff val="40000"/>
                </a:schemeClr>
              </a:gs>
              <a:gs pos="26000">
                <a:schemeClr val="accent6">
                  <a:lumMod val="75000"/>
                </a:schemeClr>
              </a:gs>
              <a:gs pos="45000">
                <a:schemeClr val="accent6">
                  <a:lumMod val="75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6">
                  <a:lumMod val="60000"/>
                  <a:lumOff val="40000"/>
                </a:schemeClr>
              </a:gs>
              <a:gs pos="26000">
                <a:schemeClr val="accent6">
                  <a:lumMod val="75000"/>
                </a:schemeClr>
              </a:gs>
              <a:gs pos="45000">
                <a:schemeClr val="accent6">
                  <a:lumMod val="75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</c:pivotFmt>
      <c:pivotFmt>
        <c:idx val="2"/>
        <c:spPr>
          <a:gradFill flip="none" rotWithShape="1">
            <a:gsLst>
              <a:gs pos="0">
                <a:schemeClr val="accent6">
                  <a:lumMod val="60000"/>
                  <a:lumOff val="40000"/>
                </a:schemeClr>
              </a:gs>
              <a:gs pos="26000">
                <a:schemeClr val="accent6">
                  <a:lumMod val="75000"/>
                </a:schemeClr>
              </a:gs>
              <a:gs pos="45000">
                <a:schemeClr val="accent6">
                  <a:lumMod val="75000"/>
                </a:schemeClr>
              </a:gs>
            </a:gsLst>
            <a:lin ang="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655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12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GRÁFICOS!$B$32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553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12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GRÁFICOS!$A$33:$A$42</c:f>
              <c:strCache>
                <c:ptCount val="9"/>
                <c:pt idx="0">
                  <c:v>Jorge Henrique Martins</c:v>
                </c:pt>
                <c:pt idx="1">
                  <c:v>Katarina Damasceno</c:v>
                </c:pt>
                <c:pt idx="2">
                  <c:v>Leonargo Rangel</c:v>
                </c:pt>
                <c:pt idx="3">
                  <c:v>Liliam da Silva Prado</c:v>
                </c:pt>
                <c:pt idx="4">
                  <c:v>Luana Silva</c:v>
                </c:pt>
                <c:pt idx="5">
                  <c:v>Lucas da Rocha</c:v>
                </c:pt>
                <c:pt idx="6">
                  <c:v>Maria Julia Ribeiro</c:v>
                </c:pt>
                <c:pt idx="7">
                  <c:v>Mariana Dias</c:v>
                </c:pt>
                <c:pt idx="8">
                  <c:v>Thiago Gonçalves</c:v>
                </c:pt>
              </c:strCache>
            </c:strRef>
          </c:cat>
          <c:val>
            <c:numRef>
              <c:f>GRÁFICOS!$B$33:$B$42</c:f>
              <c:numCache>
                <c:formatCode>General</c:formatCode>
                <c:ptCount val="9"/>
                <c:pt idx="0">
                  <c:v>50</c:v>
                </c:pt>
                <c:pt idx="1">
                  <c:v>44</c:v>
                </c:pt>
                <c:pt idx="2">
                  <c:v>48</c:v>
                </c:pt>
                <c:pt idx="3">
                  <c:v>43</c:v>
                </c:pt>
                <c:pt idx="4">
                  <c:v>46</c:v>
                </c:pt>
                <c:pt idx="5">
                  <c:v>42</c:v>
                </c:pt>
                <c:pt idx="6">
                  <c:v>52</c:v>
                </c:pt>
                <c:pt idx="7">
                  <c:v>40</c:v>
                </c:pt>
                <c:pt idx="8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C9-4951-BDED-29D38FA4CD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46413472"/>
        <c:axId val="1846414912"/>
      </c:barChart>
      <c:catAx>
        <c:axId val="1846413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6414912"/>
        <c:crosses val="autoZero"/>
        <c:auto val="1"/>
        <c:lblAlgn val="ctr"/>
        <c:lblOffset val="100"/>
        <c:noMultiLvlLbl val="0"/>
      </c:catAx>
      <c:valAx>
        <c:axId val="1846414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46413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[PLANILHA DE FOLHA DE PAGAMENTO DE FUNCIONÁRIO.xlsx]GRÁFICOS!Tabela dinâmica2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Total de salário líquido por funcionário</a:t>
            </a:r>
          </a:p>
        </c:rich>
      </c:tx>
      <c:layout>
        <c:manualLayout>
          <c:xMode val="edge"/>
          <c:yMode val="edge"/>
          <c:x val="1.1064246711194505E-3"/>
          <c:y val="1.5243902439024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2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655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65535"/>
          </a:solidFill>
          <a:ln>
            <a:noFill/>
          </a:ln>
          <a:effectLst/>
        </c:spPr>
        <c:dLbl>
          <c:idx val="0"/>
          <c:layout>
            <c:manualLayout>
              <c:x val="-4.6366013018585707E-17"/>
              <c:y val="-1.49253731343284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65535"/>
          </a:solidFill>
          <a:ln>
            <a:noFill/>
          </a:ln>
          <a:effectLst/>
        </c:spPr>
        <c:dLbl>
          <c:idx val="0"/>
          <c:layout>
            <c:manualLayout>
              <c:x val="0"/>
              <c:y val="-4.477611940298507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0">
              <a:spAutoFit/>
            </a:bodyPr>
            <a:lstStyle/>
            <a:p>
              <a:pPr algn="ctr" rtl="0">
                <a:defRPr lang="en-US" sz="900" b="1" i="0" u="none" strike="noStrike" kern="1200" spc="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GRÁFICOS!$B$19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65535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0655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E75B-4C2D-9620-93B85CFE0C13}"/>
              </c:ext>
            </c:extLst>
          </c:dPt>
          <c:dPt>
            <c:idx val="4"/>
            <c:invertIfNegative val="0"/>
            <c:bubble3D val="0"/>
            <c:spPr>
              <a:solidFill>
                <a:srgbClr val="06553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75B-4C2D-9620-93B85CFE0C13}"/>
              </c:ext>
            </c:extLst>
          </c:dPt>
          <c:dLbls>
            <c:dLbl>
              <c:idx val="2"/>
              <c:layout>
                <c:manualLayout>
                  <c:x val="-4.6366013018585707E-17"/>
                  <c:y val="-1.4925373134328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75B-4C2D-9620-93B85CFE0C13}"/>
                </c:ext>
              </c:extLst>
            </c:dLbl>
            <c:dLbl>
              <c:idx val="4"/>
              <c:layout>
                <c:manualLayout>
                  <c:x val="0"/>
                  <c:y val="-4.47761194029850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75B-4C2D-9620-93B85CFE0C1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 rtl="0">
                  <a:defRPr lang="en-US" sz="900" b="1" i="0" u="none" strike="noStrike" kern="1200" spc="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GRÁFICOS!$A$20:$A$29</c:f>
              <c:strCache>
                <c:ptCount val="9"/>
                <c:pt idx="0">
                  <c:v>Jorge Henrique Martins</c:v>
                </c:pt>
                <c:pt idx="1">
                  <c:v>Katarina Damasceno</c:v>
                </c:pt>
                <c:pt idx="2">
                  <c:v>Leonargo Rangel</c:v>
                </c:pt>
                <c:pt idx="3">
                  <c:v>Liliam da Silva Prado</c:v>
                </c:pt>
                <c:pt idx="4">
                  <c:v>Luana Silva</c:v>
                </c:pt>
                <c:pt idx="5">
                  <c:v>Lucas da Rocha</c:v>
                </c:pt>
                <c:pt idx="6">
                  <c:v>Maria Julia Ribeiro</c:v>
                </c:pt>
                <c:pt idx="7">
                  <c:v>Mariana Dias</c:v>
                </c:pt>
                <c:pt idx="8">
                  <c:v>Thiago Gonçalves</c:v>
                </c:pt>
              </c:strCache>
            </c:strRef>
          </c:cat>
          <c:val>
            <c:numRef>
              <c:f>GRÁFICOS!$B$20:$B$29</c:f>
              <c:numCache>
                <c:formatCode>"R$"\ #,##0</c:formatCode>
                <c:ptCount val="9"/>
                <c:pt idx="0">
                  <c:v>71273.272727272735</c:v>
                </c:pt>
                <c:pt idx="1">
                  <c:v>175934</c:v>
                </c:pt>
                <c:pt idx="2">
                  <c:v>35756.090909090912</c:v>
                </c:pt>
                <c:pt idx="3">
                  <c:v>14193.727272727272</c:v>
                </c:pt>
                <c:pt idx="4">
                  <c:v>27105.909090909092</c:v>
                </c:pt>
                <c:pt idx="5">
                  <c:v>7079</c:v>
                </c:pt>
                <c:pt idx="6">
                  <c:v>21920.909090909088</c:v>
                </c:pt>
                <c:pt idx="7">
                  <c:v>57107.727272727279</c:v>
                </c:pt>
                <c:pt idx="8">
                  <c:v>15930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A-4081-B325-228414AD25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7"/>
        <c:axId val="1264714080"/>
        <c:axId val="1264714560"/>
      </c:barChart>
      <c:catAx>
        <c:axId val="126471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 rtl="0">
              <a:defRPr lang="en-US"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4714560"/>
        <c:crosses val="autoZero"/>
        <c:auto val="1"/>
        <c:lblAlgn val="ctr"/>
        <c:lblOffset val="100"/>
        <c:noMultiLvlLbl val="0"/>
      </c:catAx>
      <c:valAx>
        <c:axId val="1264714560"/>
        <c:scaling>
          <c:orientation val="minMax"/>
        </c:scaling>
        <c:delete val="1"/>
        <c:axPos val="l"/>
        <c:numFmt formatCode="&quot;R$&quot;\ #,##0" sourceLinked="1"/>
        <c:majorTickMark val="none"/>
        <c:minorTickMark val="none"/>
        <c:tickLblPos val="nextTo"/>
        <c:crossAx val="1264714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C&#193;LCULO!A1"/><Relationship Id="rId1" Type="http://schemas.openxmlformats.org/officeDocument/2006/relationships/hyperlink" Target="#DASHBOARD!A1"/><Relationship Id="rId4" Type="http://schemas.openxmlformats.org/officeDocument/2006/relationships/image" Target="../media/image2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hyperlink" Target="#'CADASTRO DE FUNCION&#193;RIOS'!A1"/><Relationship Id="rId1" Type="http://schemas.openxmlformats.org/officeDocument/2006/relationships/hyperlink" Target="#DASHBOARD!A1"/><Relationship Id="rId4" Type="http://schemas.openxmlformats.org/officeDocument/2006/relationships/image" Target="../media/image4.sv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chart" Target="../charts/chart3.xml"/><Relationship Id="rId7" Type="http://schemas.openxmlformats.org/officeDocument/2006/relationships/image" Target="../media/image7.png"/><Relationship Id="rId12" Type="http://schemas.openxmlformats.org/officeDocument/2006/relationships/hyperlink" Target="#'CADASTRO DE FUNCION&#193;RIOS'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6.svg"/><Relationship Id="rId11" Type="http://schemas.openxmlformats.org/officeDocument/2006/relationships/hyperlink" Target="#C&#193;LCULO!A1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chart" Target="../charts/chart4.xml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9</xdr:col>
      <xdr:colOff>541020</xdr:colOff>
      <xdr:row>5</xdr:row>
      <xdr:rowOff>152400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4AD8D-B621-4CC7-A542-670A0D03D054}"/>
            </a:ext>
          </a:extLst>
        </xdr:cNvPr>
        <xdr:cNvSpPr/>
      </xdr:nvSpPr>
      <xdr:spPr>
        <a:xfrm>
          <a:off x="10073640" y="929640"/>
          <a:ext cx="1760220" cy="563880"/>
        </a:xfrm>
        <a:prstGeom prst="rect">
          <a:avLst/>
        </a:prstGeom>
        <a:solidFill>
          <a:srgbClr val="065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Clique aqui para ir para o dashboard</a:t>
          </a:r>
        </a:p>
      </xdr:txBody>
    </xdr:sp>
    <xdr:clientData/>
  </xdr:twoCellAnchor>
  <xdr:twoCellAnchor>
    <xdr:from>
      <xdr:col>6</xdr:col>
      <xdr:colOff>601980</xdr:colOff>
      <xdr:row>6</xdr:row>
      <xdr:rowOff>45720</xdr:rowOff>
    </xdr:from>
    <xdr:to>
      <xdr:col>9</xdr:col>
      <xdr:colOff>533400</xdr:colOff>
      <xdr:row>9</xdr:row>
      <xdr:rowOff>60960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D55A982-8328-4D07-8E0A-2973D237F6BC}"/>
            </a:ext>
          </a:extLst>
        </xdr:cNvPr>
        <xdr:cNvSpPr/>
      </xdr:nvSpPr>
      <xdr:spPr>
        <a:xfrm>
          <a:off x="10066020" y="1569720"/>
          <a:ext cx="1760220" cy="563880"/>
        </a:xfrm>
        <a:prstGeom prst="rect">
          <a:avLst/>
        </a:prstGeom>
        <a:solidFill>
          <a:srgbClr val="065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Clique aqui para ir para a planilha de cálculos</a:t>
          </a:r>
        </a:p>
      </xdr:txBody>
    </xdr:sp>
    <xdr:clientData/>
  </xdr:twoCellAnchor>
  <xdr:twoCellAnchor editAs="oneCell">
    <xdr:from>
      <xdr:col>0</xdr:col>
      <xdr:colOff>152400</xdr:colOff>
      <xdr:row>0</xdr:row>
      <xdr:rowOff>15240</xdr:rowOff>
    </xdr:from>
    <xdr:to>
      <xdr:col>0</xdr:col>
      <xdr:colOff>944880</xdr:colOff>
      <xdr:row>0</xdr:row>
      <xdr:rowOff>695960</xdr:rowOff>
    </xdr:to>
    <xdr:pic>
      <xdr:nvPicPr>
        <xdr:cNvPr id="5" name="Gráfico 4" descr="Grupo com preenchimento sólido">
          <a:extLst>
            <a:ext uri="{FF2B5EF4-FFF2-40B4-BE49-F238E27FC236}">
              <a16:creationId xmlns:a16="http://schemas.microsoft.com/office/drawing/2014/main" id="{76DE769F-B723-8473-6FB8-6528A0F8D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2400" y="15240"/>
          <a:ext cx="792480" cy="680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137160</xdr:colOff>
      <xdr:row>2</xdr:row>
      <xdr:rowOff>167640</xdr:rowOff>
    </xdr:from>
    <xdr:to>
      <xdr:col>14</xdr:col>
      <xdr:colOff>68580</xdr:colOff>
      <xdr:row>4</xdr:row>
      <xdr:rowOff>53340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3422ED-3F87-4BDF-83DF-C0962276B7F2}"/>
            </a:ext>
          </a:extLst>
        </xdr:cNvPr>
        <xdr:cNvSpPr/>
      </xdr:nvSpPr>
      <xdr:spPr>
        <a:xfrm>
          <a:off x="12329160" y="914400"/>
          <a:ext cx="1760220" cy="563880"/>
        </a:xfrm>
        <a:prstGeom prst="rect">
          <a:avLst/>
        </a:prstGeom>
        <a:solidFill>
          <a:srgbClr val="065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Clique aqui para ir para o dashboard</a:t>
          </a:r>
        </a:p>
      </xdr:txBody>
    </xdr:sp>
    <xdr:clientData/>
  </xdr:twoCellAnchor>
  <xdr:twoCellAnchor>
    <xdr:from>
      <xdr:col>11</xdr:col>
      <xdr:colOff>144780</xdr:colOff>
      <xdr:row>4</xdr:row>
      <xdr:rowOff>99060</xdr:rowOff>
    </xdr:from>
    <xdr:to>
      <xdr:col>14</xdr:col>
      <xdr:colOff>76200</xdr:colOff>
      <xdr:row>7</xdr:row>
      <xdr:rowOff>144780</xdr:rowOff>
    </xdr:to>
    <xdr:sp macro="" textlink="">
      <xdr:nvSpPr>
        <xdr:cNvPr id="3" name="Retângulo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63AA931-A541-4355-8D32-3E1CF5B27778}"/>
            </a:ext>
          </a:extLst>
        </xdr:cNvPr>
        <xdr:cNvSpPr/>
      </xdr:nvSpPr>
      <xdr:spPr>
        <a:xfrm>
          <a:off x="12336780" y="1524000"/>
          <a:ext cx="1760220" cy="685800"/>
        </a:xfrm>
        <a:prstGeom prst="rect">
          <a:avLst/>
        </a:prstGeom>
        <a:solidFill>
          <a:srgbClr val="065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Clique aqui para ir para a planilha de cadastro de funcionaários</a:t>
          </a:r>
        </a:p>
      </xdr:txBody>
    </xdr:sp>
    <xdr:clientData/>
  </xdr:twoCellAnchor>
  <xdr:twoCellAnchor editAs="oneCell">
    <xdr:from>
      <xdr:col>0</xdr:col>
      <xdr:colOff>220980</xdr:colOff>
      <xdr:row>0</xdr:row>
      <xdr:rowOff>0</xdr:rowOff>
    </xdr:from>
    <xdr:to>
      <xdr:col>0</xdr:col>
      <xdr:colOff>990600</xdr:colOff>
      <xdr:row>0</xdr:row>
      <xdr:rowOff>662940</xdr:rowOff>
    </xdr:to>
    <xdr:pic>
      <xdr:nvPicPr>
        <xdr:cNvPr id="5" name="Gráfico 4" descr="Dinheiro com preenchimento sólido">
          <a:extLst>
            <a:ext uri="{FF2B5EF4-FFF2-40B4-BE49-F238E27FC236}">
              <a16:creationId xmlns:a16="http://schemas.microsoft.com/office/drawing/2014/main" id="{195B5B59-E444-08F0-5FAA-AE192146E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20980" y="0"/>
          <a:ext cx="769620" cy="662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15240</xdr:rowOff>
    </xdr:from>
    <xdr:to>
      <xdr:col>18</xdr:col>
      <xdr:colOff>83820</xdr:colOff>
      <xdr:row>34</xdr:row>
      <xdr:rowOff>144780</xdr:rowOff>
    </xdr:to>
    <xdr:sp macro="" textlink="">
      <xdr:nvSpPr>
        <xdr:cNvPr id="42" name="Retângulo 41">
          <a:extLst>
            <a:ext uri="{FF2B5EF4-FFF2-40B4-BE49-F238E27FC236}">
              <a16:creationId xmlns:a16="http://schemas.microsoft.com/office/drawing/2014/main" id="{702BDFB3-21B0-9ED9-DC4C-FFFE06788636}"/>
            </a:ext>
          </a:extLst>
        </xdr:cNvPr>
        <xdr:cNvSpPr/>
      </xdr:nvSpPr>
      <xdr:spPr>
        <a:xfrm>
          <a:off x="38100" y="15240"/>
          <a:ext cx="11018520" cy="636270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182880</xdr:colOff>
      <xdr:row>1</xdr:row>
      <xdr:rowOff>38100</xdr:rowOff>
    </xdr:from>
    <xdr:to>
      <xdr:col>17</xdr:col>
      <xdr:colOff>205740</xdr:colOff>
      <xdr:row>6</xdr:row>
      <xdr:rowOff>7620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9C08FA91-5C30-CE10-BAFF-33C9E36156A3}"/>
            </a:ext>
          </a:extLst>
        </xdr:cNvPr>
        <xdr:cNvGrpSpPr/>
      </xdr:nvGrpSpPr>
      <xdr:grpSpPr>
        <a:xfrm>
          <a:off x="182880" y="220980"/>
          <a:ext cx="10386060" cy="883920"/>
          <a:chOff x="487680" y="312420"/>
          <a:chExt cx="10157460" cy="883920"/>
        </a:xfrm>
        <a:solidFill>
          <a:srgbClr val="2A623D"/>
        </a:solidFill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0368F216-9317-C894-8002-181BB66E0145}"/>
              </a:ext>
            </a:extLst>
          </xdr:cNvPr>
          <xdr:cNvSpPr/>
        </xdr:nvSpPr>
        <xdr:spPr>
          <a:xfrm>
            <a:off x="487680" y="327660"/>
            <a:ext cx="2735580" cy="8686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526D3BEA-94E0-A189-CE80-D0EDBA7DC58D}"/>
              </a:ext>
            </a:extLst>
          </xdr:cNvPr>
          <xdr:cNvSpPr/>
        </xdr:nvSpPr>
        <xdr:spPr>
          <a:xfrm>
            <a:off x="4198620" y="312420"/>
            <a:ext cx="2735580" cy="8686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991048E0-FE64-E68F-9503-0368B696E899}"/>
              </a:ext>
            </a:extLst>
          </xdr:cNvPr>
          <xdr:cNvSpPr/>
        </xdr:nvSpPr>
        <xdr:spPr>
          <a:xfrm>
            <a:off x="7909560" y="327660"/>
            <a:ext cx="2735580" cy="86868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0</xdr:col>
      <xdr:colOff>167640</xdr:colOff>
      <xdr:row>6</xdr:row>
      <xdr:rowOff>83820</xdr:rowOff>
    </xdr:from>
    <xdr:to>
      <xdr:col>8</xdr:col>
      <xdr:colOff>388620</xdr:colOff>
      <xdr:row>20</xdr:row>
      <xdr:rowOff>7620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5BCB9A8D-871B-B4AA-D979-9748E466D052}"/>
            </a:ext>
          </a:extLst>
        </xdr:cNvPr>
        <xdr:cNvSpPr/>
      </xdr:nvSpPr>
      <xdr:spPr>
        <a:xfrm>
          <a:off x="167640" y="1181100"/>
          <a:ext cx="5097780" cy="2484120"/>
        </a:xfrm>
        <a:prstGeom prst="rect">
          <a:avLst/>
        </a:prstGeom>
        <a:solidFill>
          <a:srgbClr val="2A623D">
            <a:alpha val="61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533400</xdr:colOff>
      <xdr:row>6</xdr:row>
      <xdr:rowOff>91440</xdr:rowOff>
    </xdr:from>
    <xdr:to>
      <xdr:col>17</xdr:col>
      <xdr:colOff>182880</xdr:colOff>
      <xdr:row>20</xdr:row>
      <xdr:rowOff>7620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EE0E33C-E69E-0CD2-B9CB-D24FFFE2382E}"/>
            </a:ext>
          </a:extLst>
        </xdr:cNvPr>
        <xdr:cNvSpPr/>
      </xdr:nvSpPr>
      <xdr:spPr>
        <a:xfrm>
          <a:off x="5410200" y="1188720"/>
          <a:ext cx="5135880" cy="2491740"/>
        </a:xfrm>
        <a:prstGeom prst="rect">
          <a:avLst/>
        </a:prstGeom>
        <a:solidFill>
          <a:srgbClr val="2A623D">
            <a:alpha val="61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541020</xdr:colOff>
      <xdr:row>20</xdr:row>
      <xdr:rowOff>114300</xdr:rowOff>
    </xdr:from>
    <xdr:to>
      <xdr:col>17</xdr:col>
      <xdr:colOff>213360</xdr:colOff>
      <xdr:row>34</xdr:row>
      <xdr:rowOff>68580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362D089C-E4E8-6AFE-0A60-68A515FC665E}"/>
            </a:ext>
          </a:extLst>
        </xdr:cNvPr>
        <xdr:cNvSpPr/>
      </xdr:nvSpPr>
      <xdr:spPr>
        <a:xfrm>
          <a:off x="5417820" y="3787140"/>
          <a:ext cx="5158740" cy="2514600"/>
        </a:xfrm>
        <a:prstGeom prst="rect">
          <a:avLst/>
        </a:prstGeom>
        <a:solidFill>
          <a:srgbClr val="2A623D">
            <a:alpha val="61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160020</xdr:colOff>
      <xdr:row>20</xdr:row>
      <xdr:rowOff>114300</xdr:rowOff>
    </xdr:from>
    <xdr:to>
      <xdr:col>8</xdr:col>
      <xdr:colOff>381000</xdr:colOff>
      <xdr:row>34</xdr:row>
      <xdr:rowOff>83820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E83F854D-F0A3-C477-13AA-2F7F7B481E04}"/>
            </a:ext>
          </a:extLst>
        </xdr:cNvPr>
        <xdr:cNvSpPr/>
      </xdr:nvSpPr>
      <xdr:spPr>
        <a:xfrm>
          <a:off x="160020" y="3787140"/>
          <a:ext cx="5097780" cy="2529840"/>
        </a:xfrm>
        <a:prstGeom prst="rect">
          <a:avLst/>
        </a:prstGeom>
        <a:solidFill>
          <a:srgbClr val="2A623D">
            <a:alpha val="61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167640</xdr:colOff>
      <xdr:row>6</xdr:row>
      <xdr:rowOff>83820</xdr:rowOff>
    </xdr:from>
    <xdr:to>
      <xdr:col>8</xdr:col>
      <xdr:colOff>388620</xdr:colOff>
      <xdr:row>20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B96AC5F4-BB64-4785-B53E-27591E2489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441961</xdr:colOff>
      <xdr:row>0</xdr:row>
      <xdr:rowOff>152400</xdr:rowOff>
    </xdr:from>
    <xdr:to>
      <xdr:col>11</xdr:col>
      <xdr:colOff>175261</xdr:colOff>
      <xdr:row>2</xdr:row>
      <xdr:rowOff>126938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4B0DE444-335D-4E5F-9A32-5177C7E3EB30}"/>
            </a:ext>
          </a:extLst>
        </xdr:cNvPr>
        <xdr:cNvSpPr txBox="1"/>
      </xdr:nvSpPr>
      <xdr:spPr>
        <a:xfrm>
          <a:off x="4099561" y="152400"/>
          <a:ext cx="2781300" cy="340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1400" b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Total de descontos  em transporte</a:t>
          </a:r>
          <a:endParaRPr lang="pt-BR" sz="1400" b="0">
            <a:solidFill>
              <a:sysClr val="windowText" lastClr="000000"/>
            </a:solidFill>
            <a:latin typeface="+mj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342900</xdr:colOff>
      <xdr:row>1</xdr:row>
      <xdr:rowOff>22860</xdr:rowOff>
    </xdr:from>
    <xdr:to>
      <xdr:col>5</xdr:col>
      <xdr:colOff>91440</xdr:colOff>
      <xdr:row>2</xdr:row>
      <xdr:rowOff>180278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8B9EB9C5-524E-4442-A4D2-BD299D96E065}"/>
            </a:ext>
          </a:extLst>
        </xdr:cNvPr>
        <xdr:cNvSpPr txBox="1"/>
      </xdr:nvSpPr>
      <xdr:spPr>
        <a:xfrm>
          <a:off x="342900" y="205740"/>
          <a:ext cx="2796540" cy="340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400" b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Total de descontos em INSS</a:t>
          </a:r>
        </a:p>
      </xdr:txBody>
    </xdr:sp>
    <xdr:clientData/>
  </xdr:twoCellAnchor>
  <xdr:twoCellAnchor>
    <xdr:from>
      <xdr:col>12</xdr:col>
      <xdr:colOff>144780</xdr:colOff>
      <xdr:row>0</xdr:row>
      <xdr:rowOff>144780</xdr:rowOff>
    </xdr:from>
    <xdr:to>
      <xdr:col>16</xdr:col>
      <xdr:colOff>487680</xdr:colOff>
      <xdr:row>2</xdr:row>
      <xdr:rowOff>119318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BF39AFCB-62DB-41DB-88D4-3AECBC265307}"/>
            </a:ext>
          </a:extLst>
        </xdr:cNvPr>
        <xdr:cNvSpPr txBox="1"/>
      </xdr:nvSpPr>
      <xdr:spPr>
        <a:xfrm>
          <a:off x="7459980" y="144780"/>
          <a:ext cx="2781300" cy="340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1400" b="0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Total de descontos em IR</a:t>
          </a:r>
        </a:p>
      </xdr:txBody>
    </xdr:sp>
    <xdr:clientData/>
  </xdr:twoCellAnchor>
  <xdr:twoCellAnchor>
    <xdr:from>
      <xdr:col>6</xdr:col>
      <xdr:colOff>544830</xdr:colOff>
      <xdr:row>2</xdr:row>
      <xdr:rowOff>99060</xdr:rowOff>
    </xdr:from>
    <xdr:to>
      <xdr:col>11</xdr:col>
      <xdr:colOff>278130</xdr:colOff>
      <xdr:row>4</xdr:row>
      <xdr:rowOff>73598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2EA9B6E5-D79A-4373-A9DF-95A06610B119}"/>
            </a:ext>
          </a:extLst>
        </xdr:cNvPr>
        <xdr:cNvSpPr txBox="1"/>
      </xdr:nvSpPr>
      <xdr:spPr>
        <a:xfrm>
          <a:off x="4202430" y="464820"/>
          <a:ext cx="2781300" cy="340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24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R$ 33.720,00 </a:t>
          </a:r>
        </a:p>
      </xdr:txBody>
    </xdr:sp>
    <xdr:clientData/>
  </xdr:twoCellAnchor>
  <xdr:twoCellAnchor>
    <xdr:from>
      <xdr:col>12</xdr:col>
      <xdr:colOff>266700</xdr:colOff>
      <xdr:row>2</xdr:row>
      <xdr:rowOff>110490</xdr:rowOff>
    </xdr:from>
    <xdr:to>
      <xdr:col>16</xdr:col>
      <xdr:colOff>266700</xdr:colOff>
      <xdr:row>4</xdr:row>
      <xdr:rowOff>85028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FF4AA7E-29C3-4E0F-85D0-E3EF75DFF1BB}"/>
            </a:ext>
          </a:extLst>
        </xdr:cNvPr>
        <xdr:cNvSpPr txBox="1"/>
      </xdr:nvSpPr>
      <xdr:spPr>
        <a:xfrm>
          <a:off x="7581900" y="476250"/>
          <a:ext cx="2438400" cy="340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24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R$ 66.900,00 </a:t>
          </a:r>
        </a:p>
      </xdr:txBody>
    </xdr:sp>
    <xdr:clientData/>
  </xdr:twoCellAnchor>
  <xdr:twoCellAnchor>
    <xdr:from>
      <xdr:col>0</xdr:col>
      <xdr:colOff>457200</xdr:colOff>
      <xdr:row>2</xdr:row>
      <xdr:rowOff>121920</xdr:rowOff>
    </xdr:from>
    <xdr:to>
      <xdr:col>5</xdr:col>
      <xdr:colOff>190500</xdr:colOff>
      <xdr:row>4</xdr:row>
      <xdr:rowOff>96458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E36179AA-ED7E-46A5-998B-30F96D4038E6}"/>
            </a:ext>
          </a:extLst>
        </xdr:cNvPr>
        <xdr:cNvSpPr txBox="1"/>
      </xdr:nvSpPr>
      <xdr:spPr>
        <a:xfrm>
          <a:off x="457200" y="487680"/>
          <a:ext cx="2781300" cy="3402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BR" sz="2400" b="1">
              <a:solidFill>
                <a:sysClr val="windowText" lastClr="000000"/>
              </a:solidFill>
              <a:latin typeface="+mj-lt"/>
              <a:ea typeface="+mn-ea"/>
              <a:cs typeface="+mn-cs"/>
            </a:rPr>
            <a:t>R$ 51.420,00 </a:t>
          </a:r>
        </a:p>
      </xdr:txBody>
    </xdr:sp>
    <xdr:clientData/>
  </xdr:twoCellAnchor>
  <xdr:twoCellAnchor>
    <xdr:from>
      <xdr:col>9</xdr:col>
      <xdr:colOff>0</xdr:colOff>
      <xdr:row>6</xdr:row>
      <xdr:rowOff>83820</xdr:rowOff>
    </xdr:from>
    <xdr:to>
      <xdr:col>17</xdr:col>
      <xdr:colOff>121920</xdr:colOff>
      <xdr:row>19</xdr:row>
      <xdr:rowOff>137160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44BBD75B-C724-40BB-9CCA-27DC289FD4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160020</xdr:colOff>
      <xdr:row>20</xdr:row>
      <xdr:rowOff>22860</xdr:rowOff>
    </xdr:from>
    <xdr:to>
      <xdr:col>8</xdr:col>
      <xdr:colOff>388620</xdr:colOff>
      <xdr:row>34</xdr:row>
      <xdr:rowOff>60960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9ABBE44D-1392-4C95-A329-1EF21EA16C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53340</xdr:colOff>
      <xdr:row>20</xdr:row>
      <xdr:rowOff>129540</xdr:rowOff>
    </xdr:from>
    <xdr:to>
      <xdr:col>17</xdr:col>
      <xdr:colOff>198120</xdr:colOff>
      <xdr:row>34</xdr:row>
      <xdr:rowOff>121920</xdr:rowOff>
    </xdr:to>
    <xdr:graphicFrame macro="">
      <xdr:nvGraphicFramePr>
        <xdr:cNvPr id="24" name="Gráfico 23">
          <a:extLst>
            <a:ext uri="{FF2B5EF4-FFF2-40B4-BE49-F238E27FC236}">
              <a16:creationId xmlns:a16="http://schemas.microsoft.com/office/drawing/2014/main" id="{0A15A2AA-2B77-47B7-AF24-E81B925F7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6</xdr:row>
      <xdr:rowOff>43355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B29DB8F9-D223-40B9-AD3C-F5F720FA1316}"/>
            </a:ext>
          </a:extLst>
        </xdr:cNvPr>
        <xdr:cNvCxnSpPr/>
      </xdr:nvCxnSpPr>
      <xdr:spPr>
        <a:xfrm>
          <a:off x="0" y="0"/>
          <a:ext cx="0" cy="1140635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91440</xdr:colOff>
      <xdr:row>0</xdr:row>
      <xdr:rowOff>106680</xdr:rowOff>
    </xdr:from>
    <xdr:to>
      <xdr:col>6</xdr:col>
      <xdr:colOff>99060</xdr:colOff>
      <xdr:row>4</xdr:row>
      <xdr:rowOff>144780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9E2E7F6F-F7D0-480F-A564-3DE61F0DF8AA}"/>
            </a:ext>
          </a:extLst>
        </xdr:cNvPr>
        <xdr:cNvCxnSpPr/>
      </xdr:nvCxnSpPr>
      <xdr:spPr>
        <a:xfrm>
          <a:off x="3749040" y="106680"/>
          <a:ext cx="7620" cy="769620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251460</xdr:colOff>
      <xdr:row>0</xdr:row>
      <xdr:rowOff>114300</xdr:rowOff>
    </xdr:from>
    <xdr:to>
      <xdr:col>12</xdr:col>
      <xdr:colOff>259080</xdr:colOff>
      <xdr:row>4</xdr:row>
      <xdr:rowOff>152400</xdr:rowOff>
    </xdr:to>
    <xdr:cxnSp macro="">
      <xdr:nvCxnSpPr>
        <xdr:cNvPr id="28" name="Conector reto 27">
          <a:extLst>
            <a:ext uri="{FF2B5EF4-FFF2-40B4-BE49-F238E27FC236}">
              <a16:creationId xmlns:a16="http://schemas.microsoft.com/office/drawing/2014/main" id="{EF2EA08C-83AC-42B1-B279-C17C03AC466D}"/>
            </a:ext>
          </a:extLst>
        </xdr:cNvPr>
        <xdr:cNvCxnSpPr/>
      </xdr:nvCxnSpPr>
      <xdr:spPr>
        <a:xfrm>
          <a:off x="7566660" y="114300"/>
          <a:ext cx="7620" cy="769620"/>
        </a:xfrm>
        <a:prstGeom prst="line">
          <a:avLst/>
        </a:prstGeom>
        <a:ln w="3175">
          <a:solidFill>
            <a:schemeClr val="bg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182880</xdr:colOff>
      <xdr:row>1</xdr:row>
      <xdr:rowOff>60960</xdr:rowOff>
    </xdr:from>
    <xdr:to>
      <xdr:col>12</xdr:col>
      <xdr:colOff>129540</xdr:colOff>
      <xdr:row>4</xdr:row>
      <xdr:rowOff>68580</xdr:rowOff>
    </xdr:to>
    <xdr:pic>
      <xdr:nvPicPr>
        <xdr:cNvPr id="33" name="Gráfico 32" descr="Ônibus com preenchimento sólido">
          <a:extLst>
            <a:ext uri="{FF2B5EF4-FFF2-40B4-BE49-F238E27FC236}">
              <a16:creationId xmlns:a16="http://schemas.microsoft.com/office/drawing/2014/main" id="{4C7E6683-F67A-1743-434A-A631681A1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6888480" y="243840"/>
          <a:ext cx="556260" cy="556260"/>
        </a:xfrm>
        <a:prstGeom prst="rect">
          <a:avLst/>
        </a:prstGeom>
      </xdr:spPr>
    </xdr:pic>
    <xdr:clientData/>
  </xdr:twoCellAnchor>
  <xdr:twoCellAnchor editAs="oneCell">
    <xdr:from>
      <xdr:col>4</xdr:col>
      <xdr:colOff>586740</xdr:colOff>
      <xdr:row>1</xdr:row>
      <xdr:rowOff>91440</xdr:rowOff>
    </xdr:from>
    <xdr:to>
      <xdr:col>5</xdr:col>
      <xdr:colOff>518160</xdr:colOff>
      <xdr:row>4</xdr:row>
      <xdr:rowOff>83820</xdr:rowOff>
    </xdr:to>
    <xdr:pic>
      <xdr:nvPicPr>
        <xdr:cNvPr id="35" name="Gráfico 34" descr="Gráfico de barras com tendência descendente com preenchimento sólido">
          <a:extLst>
            <a:ext uri="{FF2B5EF4-FFF2-40B4-BE49-F238E27FC236}">
              <a16:creationId xmlns:a16="http://schemas.microsoft.com/office/drawing/2014/main" id="{85BD0604-C988-7EFD-A75E-3B6FC07B8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025140" y="274320"/>
          <a:ext cx="541020" cy="541020"/>
        </a:xfrm>
        <a:prstGeom prst="rect">
          <a:avLst/>
        </a:prstGeom>
      </xdr:spPr>
    </xdr:pic>
    <xdr:clientData/>
  </xdr:twoCellAnchor>
  <xdr:twoCellAnchor editAs="oneCell">
    <xdr:from>
      <xdr:col>16</xdr:col>
      <xdr:colOff>137160</xdr:colOff>
      <xdr:row>1</xdr:row>
      <xdr:rowOff>68580</xdr:rowOff>
    </xdr:from>
    <xdr:to>
      <xdr:col>17</xdr:col>
      <xdr:colOff>160020</xdr:colOff>
      <xdr:row>4</xdr:row>
      <xdr:rowOff>152400</xdr:rowOff>
    </xdr:to>
    <xdr:pic>
      <xdr:nvPicPr>
        <xdr:cNvPr id="37" name="Gráfico 36" descr="Gráfico de tendência descendente com preenchimento sólido">
          <a:extLst>
            <a:ext uri="{FF2B5EF4-FFF2-40B4-BE49-F238E27FC236}">
              <a16:creationId xmlns:a16="http://schemas.microsoft.com/office/drawing/2014/main" id="{58D3DE56-F437-47D9-6FF6-0672FA5BE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9890760" y="251460"/>
          <a:ext cx="632460" cy="632460"/>
        </a:xfrm>
        <a:prstGeom prst="rect">
          <a:avLst/>
        </a:prstGeom>
      </xdr:spPr>
    </xdr:pic>
    <xdr:clientData/>
  </xdr:twoCellAnchor>
  <xdr:twoCellAnchor>
    <xdr:from>
      <xdr:col>18</xdr:col>
      <xdr:colOff>441960</xdr:colOff>
      <xdr:row>1</xdr:row>
      <xdr:rowOff>91440</xdr:rowOff>
    </xdr:from>
    <xdr:to>
      <xdr:col>21</xdr:col>
      <xdr:colOff>190500</xdr:colOff>
      <xdr:row>4</xdr:row>
      <xdr:rowOff>106680</xdr:rowOff>
    </xdr:to>
    <xdr:sp macro="" textlink="">
      <xdr:nvSpPr>
        <xdr:cNvPr id="2" name="Retângulo 1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1828EA6C-8183-5593-C14B-4640039F9856}"/>
            </a:ext>
          </a:extLst>
        </xdr:cNvPr>
        <xdr:cNvSpPr/>
      </xdr:nvSpPr>
      <xdr:spPr>
        <a:xfrm>
          <a:off x="11414760" y="274320"/>
          <a:ext cx="1760220" cy="563880"/>
        </a:xfrm>
        <a:prstGeom prst="rect">
          <a:avLst/>
        </a:prstGeom>
        <a:solidFill>
          <a:srgbClr val="065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Clique aqui para ir para a planilha de cálculos</a:t>
          </a:r>
        </a:p>
      </xdr:txBody>
    </xdr:sp>
    <xdr:clientData/>
  </xdr:twoCellAnchor>
  <xdr:twoCellAnchor>
    <xdr:from>
      <xdr:col>18</xdr:col>
      <xdr:colOff>441960</xdr:colOff>
      <xdr:row>5</xdr:row>
      <xdr:rowOff>0</xdr:rowOff>
    </xdr:from>
    <xdr:to>
      <xdr:col>21</xdr:col>
      <xdr:colOff>190500</xdr:colOff>
      <xdr:row>8</xdr:row>
      <xdr:rowOff>91440</xdr:rowOff>
    </xdr:to>
    <xdr:sp macro="" textlink="">
      <xdr:nvSpPr>
        <xdr:cNvPr id="7" name="Retângulo 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F8A32A5-037D-4C99-89E3-9A5FD59BC25E}"/>
            </a:ext>
          </a:extLst>
        </xdr:cNvPr>
        <xdr:cNvSpPr/>
      </xdr:nvSpPr>
      <xdr:spPr>
        <a:xfrm>
          <a:off x="11414760" y="914400"/>
          <a:ext cx="1760220" cy="655320"/>
        </a:xfrm>
        <a:prstGeom prst="rect">
          <a:avLst/>
        </a:prstGeom>
        <a:solidFill>
          <a:srgbClr val="06553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200" b="1"/>
            <a:t>Clique aqui para ir para a planilha cadastro de funcionários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e" refreshedDate="46005.3832625" createdVersion="8" refreshedVersion="8" minRefreshableVersion="3" recordCount="108" xr:uid="{8E71EA56-27AE-4DC9-8F1A-4B67F8C89D21}">
  <cacheSource type="worksheet">
    <worksheetSource name="Tabela2"/>
  </cacheSource>
  <cacheFields count="17">
    <cacheField name="Funcionários" numFmtId="0">
      <sharedItems count="9">
        <s v="Katarina Damasceno"/>
        <s v="Jorge Henrique Martins"/>
        <s v="Mariana Dias"/>
        <s v="Leonargo Rangel"/>
        <s v="Luana Silva"/>
        <s v="Thiago Gonçalves"/>
        <s v="Lucas da Rocha"/>
        <s v="Maria Julia Ribeiro"/>
        <s v="Liliam da Silva Prado"/>
      </sharedItems>
    </cacheField>
    <cacheField name="Competência" numFmtId="17">
      <sharedItems containsSemiMixedTypes="0" containsNonDate="0" containsDate="1" containsString="0" minDate="2024-01-01T00:00:00" maxDate="2024-12-02T00:00:00" count="12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15"/>
    </cacheField>
    <cacheField name="Data do pagamento" numFmtId="14">
      <sharedItems containsSemiMixedTypes="0" containsNonDate="0" containsDate="1" containsString="0" minDate="2024-01-01T00:00:00" maxDate="2025-01-02T00:00:00" count="13"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4-01-01T00:00:00" u="1"/>
      </sharedItems>
      <fieldGroup par="13"/>
    </cacheField>
    <cacheField name="Quantidade HE" numFmtId="0">
      <sharedItems containsSemiMixedTypes="0" containsString="0" containsNumber="1" containsInteger="1" minValue="0" maxValue="7"/>
    </cacheField>
    <cacheField name="Salário bruto" numFmtId="164">
      <sharedItems containsSemiMixedTypes="0" containsString="0" containsNumber="1" containsInteger="1" minValue="1000" maxValue="20000"/>
    </cacheField>
    <cacheField name="Desconto transporte" numFmtId="164">
      <sharedItems containsSemiMixedTypes="0" containsString="0" containsNumber="1" containsInteger="1" minValue="70" maxValue="1000"/>
    </cacheField>
    <cacheField name="Desconto IR" numFmtId="164">
      <sharedItems containsSemiMixedTypes="0" containsString="0" containsNumber="1" containsInteger="1" minValue="120" maxValue="2400"/>
    </cacheField>
    <cacheField name="Desconto INSS" numFmtId="164">
      <sharedItems containsSemiMixedTypes="0" containsString="0" containsNumber="1" containsInteger="1" minValue="90" maxValue="1800"/>
    </cacheField>
    <cacheField name="Outros descontos" numFmtId="164">
      <sharedItems containsSemiMixedTypes="0" containsString="0" containsNumber="1" containsInteger="1" minValue="100" maxValue="160"/>
    </cacheField>
    <cacheField name="Valor da hora extra" numFmtId="164">
      <sharedItems containsSemiMixedTypes="0" containsString="0" containsNumber="1" minValue="0" maxValue="381.81818181818181"/>
    </cacheField>
    <cacheField name="Salário líquido" numFmtId="164">
      <sharedItems containsSemiMixedTypes="0" containsString="0" containsNumber="1" minValue="571" maxValue="14684"/>
    </cacheField>
    <cacheField name="Meses (Data do pagamento)" numFmtId="0" databaseField="0">
      <fieldGroup base="2">
        <rangePr groupBy="months" startDate="2024-02-01T00:00:00" endDate="2025-01-02T00:00:00"/>
        <groupItems count="14">
          <s v="&lt;01/02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01/2025"/>
        </groupItems>
      </fieldGroup>
    </cacheField>
    <cacheField name="Trimestres (Data do pagamento)" numFmtId="0" databaseField="0">
      <fieldGroup base="2">
        <rangePr groupBy="quarters" startDate="2024-02-01T00:00:00" endDate="2025-01-02T00:00:00"/>
        <groupItems count="6">
          <s v="&lt;01/02/2024"/>
          <s v="Trim1"/>
          <s v="Trim2"/>
          <s v="Trim3"/>
          <s v="Trim4"/>
          <s v="&gt;02/01/2025"/>
        </groupItems>
      </fieldGroup>
    </cacheField>
    <cacheField name="Anos (Data do pagamento)" numFmtId="0" databaseField="0">
      <fieldGroup base="2">
        <rangePr groupBy="years" startDate="2024-02-01T00:00:00" endDate="2025-01-02T00:00:00"/>
        <groupItems count="4">
          <s v="&lt;01/02/2024"/>
          <s v="2024"/>
          <s v="2025"/>
          <s v="&gt;02/01/2025"/>
        </groupItems>
      </fieldGroup>
    </cacheField>
    <cacheField name="Dias (Competência)" numFmtId="0" databaseField="0">
      <fieldGroup base="1">
        <rangePr groupBy="days" startDate="2024-01-01T00:00:00" endDate="2024-12-02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2/12/2024"/>
        </groupItems>
      </fieldGroup>
    </cacheField>
    <cacheField name="Meses (Competência)" numFmtId="0" databaseField="0">
      <fieldGroup base="1">
        <rangePr groupBy="months" startDate="2024-01-01T00:00:00" endDate="2024-12-02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2/12/2024"/>
        </groupItems>
      </fieldGroup>
    </cacheField>
    <cacheField name="Total de descontos" numFmtId="0" formula="'Desconto transporte'+'Desconto IR'+'Desconto INSS'+'Outros desconto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x v="0"/>
    <x v="0"/>
    <x v="0"/>
    <n v="3"/>
    <n v="20000"/>
    <n v="1000"/>
    <n v="2400"/>
    <n v="1800"/>
    <n v="150"/>
    <n v="0"/>
    <n v="14650"/>
  </r>
  <r>
    <x v="1"/>
    <x v="0"/>
    <x v="0"/>
    <n v="5"/>
    <n v="8000"/>
    <n v="560"/>
    <n v="960"/>
    <n v="640"/>
    <n v="137"/>
    <n v="272.72727272727275"/>
    <n v="5975.727272727273"/>
  </r>
  <r>
    <x v="2"/>
    <x v="0"/>
    <x v="0"/>
    <n v="2"/>
    <n v="6500"/>
    <n v="390"/>
    <n v="715"/>
    <n v="650"/>
    <n v="119"/>
    <n v="88.63636363636364"/>
    <n v="4714.636363636364"/>
  </r>
  <r>
    <x v="3"/>
    <x v="0"/>
    <x v="0"/>
    <n v="3"/>
    <n v="4000"/>
    <n v="240"/>
    <n v="480"/>
    <n v="280"/>
    <n v="142"/>
    <n v="81.818181818181813"/>
    <n v="2939.818181818182"/>
  </r>
  <r>
    <x v="4"/>
    <x v="0"/>
    <x v="0"/>
    <n v="2"/>
    <n v="3000"/>
    <n v="180"/>
    <n v="300"/>
    <n v="210"/>
    <n v="144"/>
    <n v="40.909090909090907"/>
    <n v="2206.909090909091"/>
  </r>
  <r>
    <x v="5"/>
    <x v="0"/>
    <x v="0"/>
    <n v="6"/>
    <n v="2000"/>
    <n v="120"/>
    <n v="220"/>
    <n v="200"/>
    <n v="108"/>
    <n v="0"/>
    <n v="1352"/>
  </r>
  <r>
    <x v="6"/>
    <x v="0"/>
    <x v="0"/>
    <n v="7"/>
    <n v="1000"/>
    <n v="70"/>
    <n v="120"/>
    <n v="90"/>
    <n v="135"/>
    <n v="0"/>
    <n v="585"/>
  </r>
  <r>
    <x v="7"/>
    <x v="0"/>
    <x v="0"/>
    <n v="3"/>
    <n v="2400"/>
    <n v="100"/>
    <n v="220"/>
    <n v="200"/>
    <n v="113"/>
    <n v="49.090909090909093"/>
    <n v="1816.090909090909"/>
  </r>
  <r>
    <x v="8"/>
    <x v="0"/>
    <x v="0"/>
    <n v="6"/>
    <n v="1800"/>
    <n v="150"/>
    <n v="160"/>
    <n v="215"/>
    <n v="134"/>
    <n v="73.63636363636364"/>
    <n v="1214.6363636363637"/>
  </r>
  <r>
    <x v="0"/>
    <x v="1"/>
    <x v="1"/>
    <n v="4"/>
    <n v="20000"/>
    <n v="1000"/>
    <n v="2400"/>
    <n v="1800"/>
    <n v="154"/>
    <n v="0"/>
    <n v="14646"/>
  </r>
  <r>
    <x v="1"/>
    <x v="1"/>
    <x v="1"/>
    <n v="2"/>
    <n v="8000"/>
    <n v="560"/>
    <n v="960"/>
    <n v="640"/>
    <n v="126"/>
    <n v="109.09090909090909"/>
    <n v="5823.090909090909"/>
  </r>
  <r>
    <x v="2"/>
    <x v="1"/>
    <x v="1"/>
    <n v="7"/>
    <n v="6500"/>
    <n v="390"/>
    <n v="715"/>
    <n v="650"/>
    <n v="149"/>
    <n v="310.22727272727275"/>
    <n v="4906.227272727273"/>
  </r>
  <r>
    <x v="3"/>
    <x v="1"/>
    <x v="1"/>
    <n v="7"/>
    <n v="4000"/>
    <n v="240"/>
    <n v="480"/>
    <n v="280"/>
    <n v="139"/>
    <n v="190.90909090909091"/>
    <n v="3051.909090909091"/>
  </r>
  <r>
    <x v="4"/>
    <x v="1"/>
    <x v="1"/>
    <n v="0"/>
    <n v="3000"/>
    <n v="180"/>
    <n v="300"/>
    <n v="210"/>
    <n v="112"/>
    <n v="0"/>
    <n v="2198"/>
  </r>
  <r>
    <x v="5"/>
    <x v="1"/>
    <x v="1"/>
    <n v="0"/>
    <n v="2000"/>
    <n v="120"/>
    <n v="220"/>
    <n v="200"/>
    <n v="138"/>
    <n v="0"/>
    <n v="1322"/>
  </r>
  <r>
    <x v="6"/>
    <x v="1"/>
    <x v="1"/>
    <n v="6"/>
    <n v="1000"/>
    <n v="70"/>
    <n v="120"/>
    <n v="90"/>
    <n v="147"/>
    <n v="0"/>
    <n v="573"/>
  </r>
  <r>
    <x v="7"/>
    <x v="1"/>
    <x v="1"/>
    <n v="1"/>
    <n v="2400"/>
    <n v="100"/>
    <n v="220"/>
    <n v="200"/>
    <n v="134"/>
    <n v="16.363636363636363"/>
    <n v="1762.3636363636363"/>
  </r>
  <r>
    <x v="8"/>
    <x v="1"/>
    <x v="1"/>
    <n v="0"/>
    <n v="1800"/>
    <n v="150"/>
    <n v="160"/>
    <n v="215"/>
    <n v="158"/>
    <n v="0"/>
    <n v="1117"/>
  </r>
  <r>
    <x v="0"/>
    <x v="2"/>
    <x v="2"/>
    <n v="7"/>
    <n v="20000"/>
    <n v="1000"/>
    <n v="2400"/>
    <n v="1800"/>
    <n v="116"/>
    <n v="0"/>
    <n v="14684"/>
  </r>
  <r>
    <x v="1"/>
    <x v="2"/>
    <x v="2"/>
    <n v="5"/>
    <n v="8000"/>
    <n v="560"/>
    <n v="960"/>
    <n v="640"/>
    <n v="109"/>
    <n v="272.72727272727275"/>
    <n v="6003.727272727273"/>
  </r>
  <r>
    <x v="2"/>
    <x v="2"/>
    <x v="2"/>
    <n v="4"/>
    <n v="6500"/>
    <n v="390"/>
    <n v="715"/>
    <n v="650"/>
    <n v="107"/>
    <n v="177.27272727272728"/>
    <n v="4815.272727272727"/>
  </r>
  <r>
    <x v="3"/>
    <x v="2"/>
    <x v="2"/>
    <n v="3"/>
    <n v="4000"/>
    <n v="240"/>
    <n v="480"/>
    <n v="280"/>
    <n v="151"/>
    <n v="81.818181818181813"/>
    <n v="2930.818181818182"/>
  </r>
  <r>
    <x v="4"/>
    <x v="2"/>
    <x v="2"/>
    <n v="5"/>
    <n v="3000"/>
    <n v="180"/>
    <n v="300"/>
    <n v="210"/>
    <n v="147"/>
    <n v="102.27272727272727"/>
    <n v="2265.2727272727275"/>
  </r>
  <r>
    <x v="5"/>
    <x v="2"/>
    <x v="2"/>
    <n v="2"/>
    <n v="2000"/>
    <n v="120"/>
    <n v="220"/>
    <n v="200"/>
    <n v="153"/>
    <n v="0"/>
    <n v="1307"/>
  </r>
  <r>
    <x v="6"/>
    <x v="2"/>
    <x v="2"/>
    <n v="2"/>
    <n v="1000"/>
    <n v="70"/>
    <n v="120"/>
    <n v="90"/>
    <n v="139"/>
    <n v="0"/>
    <n v="581"/>
  </r>
  <r>
    <x v="7"/>
    <x v="2"/>
    <x v="2"/>
    <n v="4"/>
    <n v="2400"/>
    <n v="100"/>
    <n v="220"/>
    <n v="200"/>
    <n v="106"/>
    <n v="65.454545454545453"/>
    <n v="1839.4545454545455"/>
  </r>
  <r>
    <x v="8"/>
    <x v="2"/>
    <x v="2"/>
    <n v="0"/>
    <n v="1800"/>
    <n v="150"/>
    <n v="160"/>
    <n v="215"/>
    <n v="141"/>
    <n v="0"/>
    <n v="1134"/>
  </r>
  <r>
    <x v="0"/>
    <x v="3"/>
    <x v="3"/>
    <n v="6"/>
    <n v="20000"/>
    <n v="1000"/>
    <n v="2400"/>
    <n v="1800"/>
    <n v="139"/>
    <n v="0"/>
    <n v="14661"/>
  </r>
  <r>
    <x v="1"/>
    <x v="3"/>
    <x v="3"/>
    <n v="6"/>
    <n v="8000"/>
    <n v="560"/>
    <n v="960"/>
    <n v="640"/>
    <n v="160"/>
    <n v="327.27272727272725"/>
    <n v="6007.272727272727"/>
  </r>
  <r>
    <x v="2"/>
    <x v="3"/>
    <x v="3"/>
    <n v="2"/>
    <n v="6500"/>
    <n v="390"/>
    <n v="715"/>
    <n v="650"/>
    <n v="156"/>
    <n v="88.63636363636364"/>
    <n v="4677.636363636364"/>
  </r>
  <r>
    <x v="3"/>
    <x v="3"/>
    <x v="3"/>
    <n v="3"/>
    <n v="4000"/>
    <n v="240"/>
    <n v="480"/>
    <n v="280"/>
    <n v="152"/>
    <n v="81.818181818181813"/>
    <n v="2929.818181818182"/>
  </r>
  <r>
    <x v="4"/>
    <x v="3"/>
    <x v="3"/>
    <n v="5"/>
    <n v="3000"/>
    <n v="180"/>
    <n v="300"/>
    <n v="210"/>
    <n v="147"/>
    <n v="102.27272727272727"/>
    <n v="2265.2727272727275"/>
  </r>
  <r>
    <x v="5"/>
    <x v="3"/>
    <x v="3"/>
    <n v="2"/>
    <n v="2000"/>
    <n v="120"/>
    <n v="220"/>
    <n v="200"/>
    <n v="149"/>
    <n v="0"/>
    <n v="1311"/>
  </r>
  <r>
    <x v="6"/>
    <x v="3"/>
    <x v="3"/>
    <n v="4"/>
    <n v="1000"/>
    <n v="70"/>
    <n v="120"/>
    <n v="90"/>
    <n v="118"/>
    <n v="0"/>
    <n v="602"/>
  </r>
  <r>
    <x v="7"/>
    <x v="3"/>
    <x v="3"/>
    <n v="6"/>
    <n v="2400"/>
    <n v="100"/>
    <n v="220"/>
    <n v="200"/>
    <n v="116"/>
    <n v="98.181818181818187"/>
    <n v="1862.1818181818182"/>
  </r>
  <r>
    <x v="8"/>
    <x v="3"/>
    <x v="3"/>
    <n v="6"/>
    <n v="1800"/>
    <n v="150"/>
    <n v="160"/>
    <n v="215"/>
    <n v="132"/>
    <n v="73.63636363636364"/>
    <n v="1216.6363636363637"/>
  </r>
  <r>
    <x v="0"/>
    <x v="4"/>
    <x v="4"/>
    <n v="2"/>
    <n v="20000"/>
    <n v="1000"/>
    <n v="2400"/>
    <n v="1800"/>
    <n v="154"/>
    <n v="0"/>
    <n v="14646"/>
  </r>
  <r>
    <x v="1"/>
    <x v="4"/>
    <x v="4"/>
    <n v="1"/>
    <n v="8000"/>
    <n v="560"/>
    <n v="960"/>
    <n v="640"/>
    <n v="101"/>
    <n v="54.545454545454547"/>
    <n v="5793.545454545455"/>
  </r>
  <r>
    <x v="2"/>
    <x v="4"/>
    <x v="4"/>
    <n v="4"/>
    <n v="6500"/>
    <n v="390"/>
    <n v="715"/>
    <n v="650"/>
    <n v="144"/>
    <n v="177.27272727272728"/>
    <n v="4778.272727272727"/>
  </r>
  <r>
    <x v="3"/>
    <x v="4"/>
    <x v="4"/>
    <n v="7"/>
    <n v="4000"/>
    <n v="240"/>
    <n v="480"/>
    <n v="280"/>
    <n v="156"/>
    <n v="190.90909090909091"/>
    <n v="3034.909090909091"/>
  </r>
  <r>
    <x v="4"/>
    <x v="4"/>
    <x v="4"/>
    <n v="5"/>
    <n v="3000"/>
    <n v="180"/>
    <n v="300"/>
    <n v="210"/>
    <n v="114"/>
    <n v="102.27272727272727"/>
    <n v="2298.2727272727275"/>
  </r>
  <r>
    <x v="5"/>
    <x v="4"/>
    <x v="4"/>
    <n v="5"/>
    <n v="2000"/>
    <n v="120"/>
    <n v="220"/>
    <n v="200"/>
    <n v="140"/>
    <n v="0"/>
    <n v="1320"/>
  </r>
  <r>
    <x v="6"/>
    <x v="4"/>
    <x v="4"/>
    <n v="4"/>
    <n v="1000"/>
    <n v="70"/>
    <n v="120"/>
    <n v="90"/>
    <n v="104"/>
    <n v="0"/>
    <n v="616"/>
  </r>
  <r>
    <x v="7"/>
    <x v="4"/>
    <x v="4"/>
    <n v="7"/>
    <n v="2400"/>
    <n v="100"/>
    <n v="220"/>
    <n v="200"/>
    <n v="113"/>
    <n v="114.54545454545455"/>
    <n v="1881.5454545454545"/>
  </r>
  <r>
    <x v="8"/>
    <x v="4"/>
    <x v="4"/>
    <n v="5"/>
    <n v="1800"/>
    <n v="150"/>
    <n v="160"/>
    <n v="215"/>
    <n v="135"/>
    <n v="61.363636363636367"/>
    <n v="1201.3636363636363"/>
  </r>
  <r>
    <x v="0"/>
    <x v="5"/>
    <x v="5"/>
    <n v="2"/>
    <n v="20000"/>
    <n v="1000"/>
    <n v="2400"/>
    <n v="1800"/>
    <n v="122"/>
    <n v="0"/>
    <n v="14678"/>
  </r>
  <r>
    <x v="1"/>
    <x v="5"/>
    <x v="5"/>
    <n v="6"/>
    <n v="8000"/>
    <n v="560"/>
    <n v="960"/>
    <n v="640"/>
    <n v="158"/>
    <n v="327.27272727272725"/>
    <n v="6009.272727272727"/>
  </r>
  <r>
    <x v="2"/>
    <x v="5"/>
    <x v="5"/>
    <n v="5"/>
    <n v="6500"/>
    <n v="390"/>
    <n v="715"/>
    <n v="650"/>
    <n v="140"/>
    <n v="221.59090909090909"/>
    <n v="4826.590909090909"/>
  </r>
  <r>
    <x v="3"/>
    <x v="5"/>
    <x v="5"/>
    <n v="6"/>
    <n v="4000"/>
    <n v="240"/>
    <n v="480"/>
    <n v="280"/>
    <n v="100"/>
    <n v="163.63636363636363"/>
    <n v="3063.6363636363635"/>
  </r>
  <r>
    <x v="4"/>
    <x v="5"/>
    <x v="5"/>
    <n v="5"/>
    <n v="3000"/>
    <n v="180"/>
    <n v="300"/>
    <n v="210"/>
    <n v="113"/>
    <n v="102.27272727272727"/>
    <n v="2299.2727272727275"/>
  </r>
  <r>
    <x v="5"/>
    <x v="5"/>
    <x v="5"/>
    <n v="2"/>
    <n v="2000"/>
    <n v="120"/>
    <n v="220"/>
    <n v="200"/>
    <n v="100"/>
    <n v="0"/>
    <n v="1360"/>
  </r>
  <r>
    <x v="6"/>
    <x v="5"/>
    <x v="5"/>
    <n v="0"/>
    <n v="1000"/>
    <n v="70"/>
    <n v="120"/>
    <n v="90"/>
    <n v="102"/>
    <n v="0"/>
    <n v="618"/>
  </r>
  <r>
    <x v="7"/>
    <x v="5"/>
    <x v="5"/>
    <n v="6"/>
    <n v="2400"/>
    <n v="100"/>
    <n v="220"/>
    <n v="200"/>
    <n v="115"/>
    <n v="98.181818181818187"/>
    <n v="1863.1818181818182"/>
  </r>
  <r>
    <x v="8"/>
    <x v="5"/>
    <x v="5"/>
    <n v="6"/>
    <n v="1800"/>
    <n v="150"/>
    <n v="160"/>
    <n v="215"/>
    <n v="149"/>
    <n v="73.63636363636364"/>
    <n v="1199.6363636363637"/>
  </r>
  <r>
    <x v="0"/>
    <x v="6"/>
    <x v="6"/>
    <n v="5"/>
    <n v="20000"/>
    <n v="1000"/>
    <n v="2400"/>
    <n v="1800"/>
    <n v="134"/>
    <n v="0"/>
    <n v="14666"/>
  </r>
  <r>
    <x v="1"/>
    <x v="6"/>
    <x v="6"/>
    <n v="6"/>
    <n v="8000"/>
    <n v="560"/>
    <n v="960"/>
    <n v="640"/>
    <n v="112"/>
    <n v="327.27272727272725"/>
    <n v="6055.272727272727"/>
  </r>
  <r>
    <x v="2"/>
    <x v="6"/>
    <x v="6"/>
    <n v="7"/>
    <n v="6500"/>
    <n v="390"/>
    <n v="715"/>
    <n v="650"/>
    <n v="132"/>
    <n v="310.22727272727275"/>
    <n v="4923.227272727273"/>
  </r>
  <r>
    <x v="3"/>
    <x v="6"/>
    <x v="6"/>
    <n v="2"/>
    <n v="4000"/>
    <n v="240"/>
    <n v="480"/>
    <n v="280"/>
    <n v="106"/>
    <n v="54.545454545454547"/>
    <n v="2948.5454545454545"/>
  </r>
  <r>
    <x v="4"/>
    <x v="6"/>
    <x v="6"/>
    <n v="6"/>
    <n v="3000"/>
    <n v="180"/>
    <n v="300"/>
    <n v="210"/>
    <n v="156"/>
    <n v="122.72727272727272"/>
    <n v="2276.7272727272725"/>
  </r>
  <r>
    <x v="5"/>
    <x v="6"/>
    <x v="6"/>
    <n v="3"/>
    <n v="2000"/>
    <n v="120"/>
    <n v="220"/>
    <n v="200"/>
    <n v="139"/>
    <n v="0"/>
    <n v="1321"/>
  </r>
  <r>
    <x v="6"/>
    <x v="6"/>
    <x v="6"/>
    <n v="2"/>
    <n v="1000"/>
    <n v="70"/>
    <n v="120"/>
    <n v="90"/>
    <n v="136"/>
    <n v="0"/>
    <n v="584"/>
  </r>
  <r>
    <x v="7"/>
    <x v="6"/>
    <x v="6"/>
    <n v="5"/>
    <n v="2400"/>
    <n v="100"/>
    <n v="220"/>
    <n v="200"/>
    <n v="109"/>
    <n v="81.818181818181813"/>
    <n v="1852.8181818181818"/>
  </r>
  <r>
    <x v="8"/>
    <x v="6"/>
    <x v="6"/>
    <n v="0"/>
    <n v="1800"/>
    <n v="150"/>
    <n v="160"/>
    <n v="215"/>
    <n v="157"/>
    <n v="0"/>
    <n v="1118"/>
  </r>
  <r>
    <x v="0"/>
    <x v="7"/>
    <x v="7"/>
    <n v="2"/>
    <n v="20000"/>
    <n v="1000"/>
    <n v="2400"/>
    <n v="1800"/>
    <n v="127"/>
    <n v="0"/>
    <n v="14673"/>
  </r>
  <r>
    <x v="1"/>
    <x v="7"/>
    <x v="7"/>
    <n v="7"/>
    <n v="8000"/>
    <n v="560"/>
    <n v="960"/>
    <n v="640"/>
    <n v="124"/>
    <n v="381.81818181818181"/>
    <n v="6097.818181818182"/>
  </r>
  <r>
    <x v="2"/>
    <x v="7"/>
    <x v="7"/>
    <n v="2"/>
    <n v="6500"/>
    <n v="390"/>
    <n v="715"/>
    <n v="650"/>
    <n v="153"/>
    <n v="88.63636363636364"/>
    <n v="4680.636363636364"/>
  </r>
  <r>
    <x v="3"/>
    <x v="7"/>
    <x v="7"/>
    <n v="4"/>
    <n v="4000"/>
    <n v="240"/>
    <n v="480"/>
    <n v="280"/>
    <n v="144"/>
    <n v="109.09090909090909"/>
    <n v="2965.090909090909"/>
  </r>
  <r>
    <x v="4"/>
    <x v="7"/>
    <x v="7"/>
    <n v="6"/>
    <n v="3000"/>
    <n v="180"/>
    <n v="300"/>
    <n v="210"/>
    <n v="127"/>
    <n v="122.72727272727272"/>
    <n v="2305.7272727272725"/>
  </r>
  <r>
    <x v="5"/>
    <x v="7"/>
    <x v="7"/>
    <n v="1"/>
    <n v="2000"/>
    <n v="120"/>
    <n v="220"/>
    <n v="200"/>
    <n v="126"/>
    <n v="0"/>
    <n v="1334"/>
  </r>
  <r>
    <x v="6"/>
    <x v="7"/>
    <x v="7"/>
    <n v="4"/>
    <n v="1000"/>
    <n v="70"/>
    <n v="120"/>
    <n v="90"/>
    <n v="133"/>
    <n v="0"/>
    <n v="587"/>
  </r>
  <r>
    <x v="7"/>
    <x v="7"/>
    <x v="7"/>
    <n v="4"/>
    <n v="2400"/>
    <n v="100"/>
    <n v="220"/>
    <n v="200"/>
    <n v="140"/>
    <n v="65.454545454545453"/>
    <n v="1805.4545454545455"/>
  </r>
  <r>
    <x v="8"/>
    <x v="7"/>
    <x v="7"/>
    <n v="3"/>
    <n v="1800"/>
    <n v="150"/>
    <n v="160"/>
    <n v="215"/>
    <n v="121"/>
    <n v="36.81818181818182"/>
    <n v="1190.8181818181818"/>
  </r>
  <r>
    <x v="0"/>
    <x v="8"/>
    <x v="8"/>
    <n v="2"/>
    <n v="20000"/>
    <n v="1000"/>
    <n v="2400"/>
    <n v="1800"/>
    <n v="151"/>
    <n v="0"/>
    <n v="14649"/>
  </r>
  <r>
    <x v="1"/>
    <x v="8"/>
    <x v="8"/>
    <n v="0"/>
    <n v="8000"/>
    <n v="560"/>
    <n v="960"/>
    <n v="640"/>
    <n v="123"/>
    <n v="0"/>
    <n v="5717"/>
  </r>
  <r>
    <x v="2"/>
    <x v="8"/>
    <x v="8"/>
    <n v="5"/>
    <n v="6500"/>
    <n v="390"/>
    <n v="715"/>
    <n v="650"/>
    <n v="126"/>
    <n v="221.59090909090909"/>
    <n v="4840.590909090909"/>
  </r>
  <r>
    <x v="3"/>
    <x v="8"/>
    <x v="8"/>
    <n v="3"/>
    <n v="4000"/>
    <n v="240"/>
    <n v="480"/>
    <n v="280"/>
    <n v="102"/>
    <n v="81.818181818181813"/>
    <n v="2979.818181818182"/>
  </r>
  <r>
    <x v="4"/>
    <x v="8"/>
    <x v="8"/>
    <n v="5"/>
    <n v="3000"/>
    <n v="180"/>
    <n v="300"/>
    <n v="210"/>
    <n v="101"/>
    <n v="102.27272727272727"/>
    <n v="2311.2727272727275"/>
  </r>
  <r>
    <x v="5"/>
    <x v="8"/>
    <x v="8"/>
    <n v="7"/>
    <n v="2000"/>
    <n v="120"/>
    <n v="220"/>
    <n v="200"/>
    <n v="108"/>
    <n v="0"/>
    <n v="1352"/>
  </r>
  <r>
    <x v="6"/>
    <x v="8"/>
    <x v="8"/>
    <n v="4"/>
    <n v="1000"/>
    <n v="70"/>
    <n v="120"/>
    <n v="90"/>
    <n v="140"/>
    <n v="0"/>
    <n v="580"/>
  </r>
  <r>
    <x v="7"/>
    <x v="8"/>
    <x v="8"/>
    <n v="4"/>
    <n v="2400"/>
    <n v="100"/>
    <n v="220"/>
    <n v="200"/>
    <n v="153"/>
    <n v="65.454545454545453"/>
    <n v="1792.4545454545455"/>
  </r>
  <r>
    <x v="8"/>
    <x v="8"/>
    <x v="8"/>
    <n v="3"/>
    <n v="1800"/>
    <n v="150"/>
    <n v="160"/>
    <n v="215"/>
    <n v="123"/>
    <n v="36.81818181818182"/>
    <n v="1188.8181818181818"/>
  </r>
  <r>
    <x v="0"/>
    <x v="9"/>
    <x v="9"/>
    <n v="0"/>
    <n v="20000"/>
    <n v="1000"/>
    <n v="2400"/>
    <n v="1800"/>
    <n v="123"/>
    <n v="0"/>
    <n v="14677"/>
  </r>
  <r>
    <x v="1"/>
    <x v="9"/>
    <x v="9"/>
    <n v="4"/>
    <n v="8000"/>
    <n v="560"/>
    <n v="960"/>
    <n v="640"/>
    <n v="147"/>
    <n v="218.18181818181819"/>
    <n v="5911.181818181818"/>
  </r>
  <r>
    <x v="2"/>
    <x v="9"/>
    <x v="9"/>
    <n v="0"/>
    <n v="6500"/>
    <n v="390"/>
    <n v="715"/>
    <n v="650"/>
    <n v="126"/>
    <n v="0"/>
    <n v="4619"/>
  </r>
  <r>
    <x v="3"/>
    <x v="9"/>
    <x v="9"/>
    <n v="0"/>
    <n v="4000"/>
    <n v="240"/>
    <n v="480"/>
    <n v="280"/>
    <n v="105"/>
    <n v="0"/>
    <n v="2895"/>
  </r>
  <r>
    <x v="4"/>
    <x v="9"/>
    <x v="9"/>
    <n v="0"/>
    <n v="3000"/>
    <n v="180"/>
    <n v="300"/>
    <n v="210"/>
    <n v="135"/>
    <n v="0"/>
    <n v="2175"/>
  </r>
  <r>
    <x v="5"/>
    <x v="9"/>
    <x v="9"/>
    <n v="7"/>
    <n v="2000"/>
    <n v="120"/>
    <n v="220"/>
    <n v="200"/>
    <n v="136"/>
    <n v="0"/>
    <n v="1324"/>
  </r>
  <r>
    <x v="6"/>
    <x v="9"/>
    <x v="9"/>
    <n v="2"/>
    <n v="1000"/>
    <n v="70"/>
    <n v="120"/>
    <n v="90"/>
    <n v="145"/>
    <n v="0"/>
    <n v="575"/>
  </r>
  <r>
    <x v="7"/>
    <x v="9"/>
    <x v="9"/>
    <n v="1"/>
    <n v="2400"/>
    <n v="100"/>
    <n v="220"/>
    <n v="200"/>
    <n v="156"/>
    <n v="16.363636363636363"/>
    <n v="1740.3636363636363"/>
  </r>
  <r>
    <x v="8"/>
    <x v="9"/>
    <x v="9"/>
    <n v="5"/>
    <n v="1800"/>
    <n v="150"/>
    <n v="160"/>
    <n v="215"/>
    <n v="130"/>
    <n v="61.363636363636367"/>
    <n v="1206.3636363636363"/>
  </r>
  <r>
    <x v="0"/>
    <x v="10"/>
    <x v="10"/>
    <n v="6"/>
    <n v="20000"/>
    <n v="1000"/>
    <n v="2400"/>
    <n v="1800"/>
    <n v="140"/>
    <n v="0"/>
    <n v="14660"/>
  </r>
  <r>
    <x v="1"/>
    <x v="10"/>
    <x v="10"/>
    <n v="4"/>
    <n v="8000"/>
    <n v="560"/>
    <n v="960"/>
    <n v="640"/>
    <n v="104"/>
    <n v="218.18181818181819"/>
    <n v="5954.181818181818"/>
  </r>
  <r>
    <x v="2"/>
    <x v="10"/>
    <x v="10"/>
    <n v="0"/>
    <n v="6500"/>
    <n v="390"/>
    <n v="715"/>
    <n v="650"/>
    <n v="111"/>
    <n v="0"/>
    <n v="4634"/>
  </r>
  <r>
    <x v="3"/>
    <x v="10"/>
    <x v="10"/>
    <n v="4"/>
    <n v="4000"/>
    <n v="240"/>
    <n v="480"/>
    <n v="280"/>
    <n v="104"/>
    <n v="109.09090909090909"/>
    <n v="3005.090909090909"/>
  </r>
  <r>
    <x v="4"/>
    <x v="10"/>
    <x v="10"/>
    <n v="6"/>
    <n v="3000"/>
    <n v="180"/>
    <n v="300"/>
    <n v="210"/>
    <n v="112"/>
    <n v="122.72727272727272"/>
    <n v="2320.7272727272725"/>
  </r>
  <r>
    <x v="5"/>
    <x v="10"/>
    <x v="10"/>
    <n v="3"/>
    <n v="2000"/>
    <n v="120"/>
    <n v="220"/>
    <n v="200"/>
    <n v="141"/>
    <n v="0"/>
    <n v="1319"/>
  </r>
  <r>
    <x v="6"/>
    <x v="10"/>
    <x v="10"/>
    <n v="7"/>
    <n v="1000"/>
    <n v="70"/>
    <n v="120"/>
    <n v="90"/>
    <n v="113"/>
    <n v="0"/>
    <n v="607"/>
  </r>
  <r>
    <x v="7"/>
    <x v="10"/>
    <x v="10"/>
    <n v="6"/>
    <n v="2400"/>
    <n v="100"/>
    <n v="220"/>
    <n v="200"/>
    <n v="110"/>
    <n v="98.181818181818187"/>
    <n v="1868.1818181818182"/>
  </r>
  <r>
    <x v="8"/>
    <x v="10"/>
    <x v="10"/>
    <n v="4"/>
    <n v="1800"/>
    <n v="150"/>
    <n v="160"/>
    <n v="215"/>
    <n v="123"/>
    <n v="49.090909090909093"/>
    <n v="1201.090909090909"/>
  </r>
  <r>
    <x v="0"/>
    <x v="11"/>
    <x v="11"/>
    <n v="5"/>
    <n v="20000"/>
    <n v="1000"/>
    <n v="2400"/>
    <n v="1800"/>
    <n v="156"/>
    <n v="0"/>
    <n v="14644"/>
  </r>
  <r>
    <x v="1"/>
    <x v="11"/>
    <x v="11"/>
    <n v="4"/>
    <n v="8000"/>
    <n v="560"/>
    <n v="960"/>
    <n v="640"/>
    <n v="133"/>
    <n v="218.18181818181819"/>
    <n v="5925.181818181818"/>
  </r>
  <r>
    <x v="2"/>
    <x v="11"/>
    <x v="11"/>
    <n v="2"/>
    <n v="6500"/>
    <n v="390"/>
    <n v="715"/>
    <n v="650"/>
    <n v="142"/>
    <n v="88.63636363636364"/>
    <n v="4691.636363636364"/>
  </r>
  <r>
    <x v="3"/>
    <x v="11"/>
    <x v="11"/>
    <n v="6"/>
    <n v="4000"/>
    <n v="240"/>
    <n v="480"/>
    <n v="280"/>
    <n v="152"/>
    <n v="163.63636363636363"/>
    <n v="3011.6363636363635"/>
  </r>
  <r>
    <x v="4"/>
    <x v="11"/>
    <x v="11"/>
    <n v="1"/>
    <n v="3000"/>
    <n v="180"/>
    <n v="300"/>
    <n v="210"/>
    <n v="147"/>
    <n v="20.454545454545453"/>
    <n v="2183.4545454545455"/>
  </r>
  <r>
    <x v="5"/>
    <x v="11"/>
    <x v="11"/>
    <n v="6"/>
    <n v="2000"/>
    <n v="120"/>
    <n v="220"/>
    <n v="200"/>
    <n v="152"/>
    <n v="0"/>
    <n v="1308"/>
  </r>
  <r>
    <x v="6"/>
    <x v="11"/>
    <x v="11"/>
    <n v="0"/>
    <n v="1000"/>
    <n v="70"/>
    <n v="120"/>
    <n v="90"/>
    <n v="149"/>
    <n v="0"/>
    <n v="571"/>
  </r>
  <r>
    <x v="7"/>
    <x v="11"/>
    <x v="11"/>
    <n v="5"/>
    <n v="2400"/>
    <n v="100"/>
    <n v="220"/>
    <n v="200"/>
    <n v="125"/>
    <n v="81.818181818181813"/>
    <n v="1836.8181818181818"/>
  </r>
  <r>
    <x v="8"/>
    <x v="11"/>
    <x v="11"/>
    <n v="5"/>
    <n v="1800"/>
    <n v="150"/>
    <n v="160"/>
    <n v="215"/>
    <n v="131"/>
    <n v="61.363636363636367"/>
    <n v="1205.36363636363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E1BC4-CFA7-4565-8FF9-5FEE66DB6A4B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Meses">
  <location ref="A77:B90" firstHeaderRow="1" firstDataRow="1" firstDataCol="1"/>
  <pivotFields count="17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4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1"/>
        <item sd="0" x="2"/>
        <item sd="0" x="3"/>
        <item sd="0" x="4"/>
        <item sd="0" x="5"/>
        <item x="0"/>
      </items>
    </pivotField>
    <pivotField showAll="0" defaultSubtotal="0">
      <items count="4">
        <item sd="0" x="1"/>
        <item sd="0" x="2"/>
        <item sd="0" x="3"/>
        <item x="0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5">
    <field x="11"/>
    <field x="15"/>
    <field x="14"/>
    <field x="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esconto transporte" fld="5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335227-846C-4933-81BB-1BCA38DCA2CF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Funcionários">
  <location ref="A32:B42" firstHeaderRow="1" firstDataRow="1" firstDataCol="1"/>
  <pivotFields count="17">
    <pivotField axis="axisRow" showAll="0">
      <items count="10">
        <item x="1"/>
        <item x="0"/>
        <item x="3"/>
        <item x="8"/>
        <item x="4"/>
        <item x="6"/>
        <item x="7"/>
        <item x="2"/>
        <item x="5"/>
        <item t="default"/>
      </items>
    </pivotField>
    <pivotField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Quantidade H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444E9-BC46-4941-BB37-7DFBD87893F2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A45:B58" firstHeaderRow="1" firstDataRow="1" firstDataCol="1"/>
  <pivotFields count="17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4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1"/>
        <item sd="0" x="2"/>
        <item sd="0" x="3"/>
        <item sd="0" x="4"/>
        <item sd="0" x="5"/>
        <item x="0"/>
      </items>
    </pivotField>
    <pivotField showAll="0" defaultSubtotal="0">
      <items count="4">
        <item sd="0" x="1"/>
        <item sd="0" x="2"/>
        <item sd="0" x="3"/>
        <item x="0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5">
    <field x="11"/>
    <field x="15"/>
    <field x="14"/>
    <field x="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esconto INSS" fld="7" baseField="0" baseItem="0"/>
  </dataFields>
  <formats count="13">
    <format dxfId="13">
      <pivotArea collapsedLevelsAreSubtotals="1" fieldPosition="0">
        <references count="1">
          <reference field="11" count="1">
            <x v="1"/>
          </reference>
        </references>
      </pivotArea>
    </format>
    <format dxfId="12">
      <pivotArea collapsedLevelsAreSubtotals="1" fieldPosition="0">
        <references count="1">
          <reference field="11" count="1">
            <x v="2"/>
          </reference>
        </references>
      </pivotArea>
    </format>
    <format dxfId="11">
      <pivotArea collapsedLevelsAreSubtotals="1" fieldPosition="0">
        <references count="1">
          <reference field="11" count="1">
            <x v="3"/>
          </reference>
        </references>
      </pivotArea>
    </format>
    <format dxfId="10">
      <pivotArea collapsedLevelsAreSubtotals="1" fieldPosition="0">
        <references count="1">
          <reference field="11" count="1">
            <x v="4"/>
          </reference>
        </references>
      </pivotArea>
    </format>
    <format dxfId="9">
      <pivotArea collapsedLevelsAreSubtotals="1" fieldPosition="0">
        <references count="1">
          <reference field="11" count="1">
            <x v="5"/>
          </reference>
        </references>
      </pivotArea>
    </format>
    <format dxfId="8">
      <pivotArea collapsedLevelsAreSubtotals="1" fieldPosition="0">
        <references count="1">
          <reference field="11" count="1">
            <x v="6"/>
          </reference>
        </references>
      </pivotArea>
    </format>
    <format dxfId="7">
      <pivotArea collapsedLevelsAreSubtotals="1" fieldPosition="0">
        <references count="1">
          <reference field="11" count="1">
            <x v="7"/>
          </reference>
        </references>
      </pivotArea>
    </format>
    <format dxfId="6">
      <pivotArea collapsedLevelsAreSubtotals="1" fieldPosition="0">
        <references count="1">
          <reference field="11" count="1">
            <x v="8"/>
          </reference>
        </references>
      </pivotArea>
    </format>
    <format dxfId="5">
      <pivotArea collapsedLevelsAreSubtotals="1" fieldPosition="0">
        <references count="1">
          <reference field="11" count="1">
            <x v="9"/>
          </reference>
        </references>
      </pivotArea>
    </format>
    <format dxfId="4">
      <pivotArea collapsedLevelsAreSubtotals="1" fieldPosition="0">
        <references count="1">
          <reference field="11" count="1">
            <x v="10"/>
          </reference>
        </references>
      </pivotArea>
    </format>
    <format dxfId="3">
      <pivotArea collapsedLevelsAreSubtotals="1" fieldPosition="0">
        <references count="1">
          <reference field="11" count="1">
            <x v="11"/>
          </reference>
        </references>
      </pivotArea>
    </format>
    <format dxfId="2">
      <pivotArea collapsedLevelsAreSubtotals="1" fieldPosition="0">
        <references count="1">
          <reference field="11" count="1">
            <x v="12"/>
          </reference>
        </references>
      </pivotArea>
    </format>
    <format dxfId="1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EFEC1-3520-43D0-AFB2-24EB50F11598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Meses">
  <location ref="A93:B106" firstHeaderRow="1" firstDataRow="1" firstDataCol="1"/>
  <pivotFields count="17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1"/>
        <item sd="0" x="2"/>
        <item sd="0" x="3"/>
        <item sd="0" x="4"/>
        <item sd="0" x="5"/>
        <item x="0"/>
      </items>
    </pivotField>
    <pivotField showAll="0" defaultSubtotal="0">
      <items count="4">
        <item sd="0" x="1"/>
        <item sd="0" x="2"/>
        <item sd="0" x="3"/>
        <item x="0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dataField="1" dragToRow="0" dragToCol="0" dragToPage="0" showAll="0" defaultSubtotal="0"/>
  </pivotFields>
  <rowFields count="3">
    <field x="14"/>
    <field x="1"/>
    <field x="15"/>
  </rowFields>
  <rowItems count="13">
    <i>
      <x v="1"/>
    </i>
    <i>
      <x v="32"/>
    </i>
    <i>
      <x v="61"/>
    </i>
    <i>
      <x v="92"/>
    </i>
    <i>
      <x v="122"/>
    </i>
    <i>
      <x v="153"/>
    </i>
    <i>
      <x v="183"/>
    </i>
    <i>
      <x v="214"/>
    </i>
    <i>
      <x v="245"/>
    </i>
    <i>
      <x v="275"/>
    </i>
    <i>
      <x v="306"/>
    </i>
    <i>
      <x v="336"/>
    </i>
    <i t="grand">
      <x/>
    </i>
  </rowItems>
  <colItems count="1">
    <i/>
  </colItems>
  <dataFields count="1">
    <dataField name="Soma de Total de descontos" fld="16" baseField="0" baseItem="0" numFmtId="164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33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388EB0-00F8-4DDC-9852-3F8DD6105916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Funcionários">
  <location ref="A19:B29" firstHeaderRow="1" firstDataRow="1" firstDataCol="1"/>
  <pivotFields count="17">
    <pivotField axis="axisRow" showAll="0">
      <items count="10">
        <item x="1"/>
        <item x="0"/>
        <item x="3"/>
        <item x="8"/>
        <item x="4"/>
        <item x="6"/>
        <item x="7"/>
        <item x="2"/>
        <item x="5"/>
        <item t="default"/>
      </items>
    </pivotField>
    <pivotField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umFmtId="14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showAll="0" defaultSubtotal="0"/>
    <pivotField showAll="0" defaultSubtotal="0"/>
    <pivotField showAll="0" defaultSubtotal="0">
      <items count="4">
        <item x="1"/>
        <item x="2"/>
        <item x="3"/>
        <item x="0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Salário líquido" fld="10" baseField="0" baseItem="0" numFmtId="164"/>
  </dataFields>
  <formats count="3">
    <format dxfId="16">
      <pivotArea outline="0" collapsedLevelsAreSubtotals="1" fieldPosition="0"/>
    </format>
    <format dxfId="15">
      <pivotArea dataOnly="0" labelOnly="1" outline="0" axis="axisValues" fieldPosition="0"/>
    </format>
    <format dxfId="14">
      <pivotArea collapsedLevelsAreSubtotals="1" fieldPosition="0">
        <references count="1">
          <reference field="0" count="0"/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D21F73-44AC-4C03-855B-D1B5C7F283A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 rowHeaderCaption="Meses">
  <location ref="A3:B16" firstHeaderRow="1" firstDataRow="1" firstDataCol="1"/>
  <pivotFields count="17">
    <pivotField showAll="0"/>
    <pivotField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4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1"/>
        <item sd="0" x="2"/>
        <item sd="0" x="3"/>
        <item sd="0" x="4"/>
        <item sd="0" x="5"/>
        <item x="0"/>
        <item t="default"/>
      </items>
    </pivotField>
    <pivotField showAll="0">
      <items count="5">
        <item sd="0" x="1"/>
        <item sd="0" x="2"/>
        <item sd="0" x="3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ragToRow="0" dragToCol="0" dragToPage="0" showAll="0" defaultSubtotal="0"/>
  </pivotFields>
  <rowFields count="2">
    <field x="11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Salário líquido" fld="10" baseField="0" baseItem="0" numFmtId="164"/>
  </dataFields>
  <formats count="14">
    <format dxfId="30">
      <pivotArea outline="0" collapsedLevelsAreSubtotals="1" fieldPosition="0"/>
    </format>
    <format dxfId="29">
      <pivotArea collapsedLevelsAreSubtotals="1" fieldPosition="0">
        <references count="1">
          <reference field="11" count="1">
            <x v="1"/>
          </reference>
        </references>
      </pivotArea>
    </format>
    <format dxfId="28">
      <pivotArea collapsedLevelsAreSubtotals="1" fieldPosition="0">
        <references count="1">
          <reference field="11" count="1">
            <x v="2"/>
          </reference>
        </references>
      </pivotArea>
    </format>
    <format dxfId="27">
      <pivotArea collapsedLevelsAreSubtotals="1" fieldPosition="0">
        <references count="1">
          <reference field="11" count="1">
            <x v="3"/>
          </reference>
        </references>
      </pivotArea>
    </format>
    <format dxfId="26">
      <pivotArea collapsedLevelsAreSubtotals="1" fieldPosition="0">
        <references count="1">
          <reference field="11" count="1">
            <x v="4"/>
          </reference>
        </references>
      </pivotArea>
    </format>
    <format dxfId="25">
      <pivotArea collapsedLevelsAreSubtotals="1" fieldPosition="0">
        <references count="1">
          <reference field="11" count="1">
            <x v="5"/>
          </reference>
        </references>
      </pivotArea>
    </format>
    <format dxfId="24">
      <pivotArea collapsedLevelsAreSubtotals="1" fieldPosition="0">
        <references count="1">
          <reference field="11" count="1">
            <x v="6"/>
          </reference>
        </references>
      </pivotArea>
    </format>
    <format dxfId="23">
      <pivotArea collapsedLevelsAreSubtotals="1" fieldPosition="0">
        <references count="1">
          <reference field="11" count="1">
            <x v="7"/>
          </reference>
        </references>
      </pivotArea>
    </format>
    <format dxfId="22">
      <pivotArea collapsedLevelsAreSubtotals="1" fieldPosition="0">
        <references count="1">
          <reference field="11" count="1">
            <x v="8"/>
          </reference>
        </references>
      </pivotArea>
    </format>
    <format dxfId="21">
      <pivotArea collapsedLevelsAreSubtotals="1" fieldPosition="0">
        <references count="1">
          <reference field="11" count="1">
            <x v="9"/>
          </reference>
        </references>
      </pivotArea>
    </format>
    <format dxfId="20">
      <pivotArea collapsedLevelsAreSubtotals="1" fieldPosition="0">
        <references count="1">
          <reference field="11" count="1">
            <x v="10"/>
          </reference>
        </references>
      </pivotArea>
    </format>
    <format dxfId="19">
      <pivotArea collapsedLevelsAreSubtotals="1" fieldPosition="0">
        <references count="1">
          <reference field="11" count="1">
            <x v="11"/>
          </reference>
        </references>
      </pivotArea>
    </format>
    <format dxfId="18">
      <pivotArea collapsedLevelsAreSubtotals="1" fieldPosition="0">
        <references count="1">
          <reference field="11" count="1">
            <x v="12"/>
          </reference>
        </references>
      </pivotArea>
    </format>
    <format dxfId="17">
      <pivotArea dataOnly="0" labelOnly="1" fieldPosition="0">
        <references count="1">
          <reference field="11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783746-91C4-448F-97D2-C3D5C38B67F7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Meses">
  <location ref="A61:B74" firstHeaderRow="1" firstDataRow="1" firstDataCol="1"/>
  <pivotFields count="17">
    <pivotField showAll="0"/>
    <pivotField axis="axisRow" numFmtId="17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numFmtId="14" showAll="0">
      <items count="14"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1"/>
        <item sd="0" x="2"/>
        <item sd="0" x="3"/>
        <item sd="0" x="4"/>
        <item sd="0" x="5"/>
        <item x="0"/>
      </items>
    </pivotField>
    <pivotField showAll="0" defaultSubtotal="0">
      <items count="4">
        <item sd="0" x="1"/>
        <item sd="0" x="2"/>
        <item sd="0" x="3"/>
        <item x="0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5">
    <field x="11"/>
    <field x="15"/>
    <field x="14"/>
    <field x="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Desconto IR" fld="6" baseField="0" baseItem="0" numFmtId="164"/>
  </dataFields>
  <formats count="1">
    <format dxfId="3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3F2DA6-748B-4855-8C62-0A1A7E301378}" name="Tabela1" displayName="Tabela1" ref="A4:F13" totalsRowShown="0" headerRowDxfId="52" dataDxfId="51">
  <autoFilter ref="A4:F13" xr:uid="{8C3F2DA6-748B-4855-8C62-0A1A7E301378}"/>
  <tableColumns count="6">
    <tableColumn id="1" xr3:uid="{6FAF4AB7-F32B-4350-B2D4-BA10C2686DDE}" name="Funcionário" dataDxfId="50"/>
    <tableColumn id="2" xr3:uid="{D94097F2-36E8-494F-B8F2-44B3C6866576}" name="Cargo" dataDxfId="49"/>
    <tableColumn id="3" xr3:uid="{FF5B80A7-2AB9-45D1-A484-567B2898BD31}" name="Departamento" dataDxfId="48"/>
    <tableColumn id="4" xr3:uid="{8F277A0E-B712-42CA-9BDA-7538F9D4A2B6}" name="Salário bruto" dataDxfId="47"/>
    <tableColumn id="5" xr3:uid="{6548158F-0625-4BBC-8174-310BE6325232}" name="Regime de contratação" dataDxfId="46"/>
    <tableColumn id="6" xr3:uid="{DA59C9EF-FA75-4FC4-89A5-8C800A8E0901}" name="Valor hora extra" dataDxfId="45">
      <calculatedColumnFormula>IF(Tabela1[[#This Row],[Regime de contratação]]="CLT",Tabela1[[#This Row],[Salário bruto]]*1.5/220,0)</calculatedColumn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ACA85-4097-4EDE-BB6A-1F3E2F57F7DC}" name="Tabela2" displayName="Tabela2" ref="A4:K112" totalsRowShown="0" headerRowDxfId="44" dataDxfId="43">
  <autoFilter ref="A4:K112" xr:uid="{998ACA85-4097-4EDE-BB6A-1F3E2F57F7DC}"/>
  <tableColumns count="11">
    <tableColumn id="1" xr3:uid="{8D527217-E80B-4E13-A69F-05EE1F588273}" name="Funcionários" dataDxfId="42"/>
    <tableColumn id="2" xr3:uid="{0FDF9024-EC1F-4820-916B-CDA86E920C17}" name="Competência" dataDxfId="41"/>
    <tableColumn id="3" xr3:uid="{BFEA7F89-AB2A-4D56-B79F-C52CA3A2A904}" name="Data do pagamento" dataDxfId="40"/>
    <tableColumn id="4" xr3:uid="{7358AE18-F48A-403A-BBBB-75BECD82B0D4}" name="Quantidade HE" dataDxfId="39"/>
    <tableColumn id="5" xr3:uid="{2BDF199D-6804-4342-A087-D0E1AE8EC315}" name="Salário bruto" dataDxfId="38">
      <calculatedColumnFormula>VLOOKUP(Tabela2[[#This Row],[Funcionários]],'CADASTRO DE FUNCIONÁRIOS'!A:F,4,0)</calculatedColumnFormula>
    </tableColumn>
    <tableColumn id="6" xr3:uid="{76BD7E8F-2BF5-4CA6-B971-4720961F69DC}" name="Desconto transporte" dataDxfId="37"/>
    <tableColumn id="7" xr3:uid="{B0E4FCD6-0BB4-4725-879C-AEB64588988F}" name="Desconto IR" dataDxfId="36"/>
    <tableColumn id="8" xr3:uid="{F9799B9F-C144-4A30-B2D3-44573B383288}" name="Desconto INSS" dataDxfId="35"/>
    <tableColumn id="9" xr3:uid="{AF0FEDC8-A50A-41F2-9944-C41728D0A439}" name="Outros descontos" dataDxfId="34"/>
    <tableColumn id="10" xr3:uid="{95E696A2-0407-473D-A890-1EBA232B6CEF}" name="Valor da hora extra" dataDxfId="33">
      <calculatedColumnFormula>Tabela2[[#This Row],[Quantidade HE]]*VLOOKUP(Tabela2[[#This Row],[Funcionários]],'CADASTRO DE FUNCIONÁRIOS'!A:F,6,0)</calculatedColumnFormula>
    </tableColumn>
    <tableColumn id="11" xr3:uid="{8F9F5FBF-A9C7-4E40-961B-82969B05DB4E}" name="Salário líquido" dataDxfId="32">
      <calculatedColumnFormula>Tabela2[[#This Row],[Salário bruto]]-(SUM(Tabela2[[#This Row],[Desconto transporte]:[Outros descontos]]))+Tabela2[[#This Row],[Valor da hora extra]]</calculatedColumnFormula>
    </tableColumn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BFC5-4C18-4B58-8437-085A20E83A78}">
  <dimension ref="A1:F13"/>
  <sheetViews>
    <sheetView showGridLines="0" tabSelected="1" workbookViewId="0">
      <selection activeCell="J15" sqref="J15"/>
    </sheetView>
  </sheetViews>
  <sheetFormatPr defaultRowHeight="14.4" x14ac:dyDescent="0.3"/>
  <cols>
    <col min="1" max="1" width="19.5546875" bestFit="1" customWidth="1"/>
    <col min="2" max="2" width="18.77734375" bestFit="1" customWidth="1"/>
    <col min="3" max="3" width="25.88671875" customWidth="1"/>
    <col min="4" max="4" width="19" style="3" bestFit="1" customWidth="1"/>
    <col min="5" max="5" width="30.109375" bestFit="1" customWidth="1"/>
    <col min="6" max="6" width="24.6640625" style="3" customWidth="1"/>
  </cols>
  <sheetData>
    <row r="1" spans="1:6" s="8" customFormat="1" ht="55.2" customHeight="1" x14ac:dyDescent="0.3">
      <c r="C1" s="9" t="s">
        <v>0</v>
      </c>
      <c r="D1" s="10"/>
      <c r="F1" s="10"/>
    </row>
    <row r="4" spans="1:6" ht="18" x14ac:dyDescent="0.35">
      <c r="A4" s="11" t="s">
        <v>1</v>
      </c>
      <c r="B4" s="11" t="s">
        <v>2</v>
      </c>
      <c r="C4" s="11" t="s">
        <v>3</v>
      </c>
      <c r="D4" s="12" t="s">
        <v>4</v>
      </c>
      <c r="E4" s="11" t="s">
        <v>5</v>
      </c>
      <c r="F4" s="12" t="s">
        <v>6</v>
      </c>
    </row>
    <row r="5" spans="1:6" x14ac:dyDescent="0.3">
      <c r="A5" s="1" t="s">
        <v>22</v>
      </c>
      <c r="B5" s="1" t="s">
        <v>21</v>
      </c>
      <c r="C5" s="1" t="s">
        <v>13</v>
      </c>
      <c r="D5" s="2">
        <v>20000</v>
      </c>
      <c r="E5" s="1" t="s">
        <v>18</v>
      </c>
      <c r="F5" s="2">
        <f>IF(Tabela1[[#This Row],[Regime de contratação]]="CLT",Tabela1[[#This Row],[Salário bruto]]*1.5/220,0)</f>
        <v>0</v>
      </c>
    </row>
    <row r="6" spans="1:6" x14ac:dyDescent="0.3">
      <c r="A6" s="1" t="s">
        <v>23</v>
      </c>
      <c r="B6" s="1" t="s">
        <v>7</v>
      </c>
      <c r="C6" s="1" t="s">
        <v>14</v>
      </c>
      <c r="D6" s="2">
        <v>8000</v>
      </c>
      <c r="E6" s="1" t="s">
        <v>19</v>
      </c>
      <c r="F6" s="2">
        <f>IF(Tabela1[[#This Row],[Regime de contratação]]="CLT",Tabela1[[#This Row],[Salário bruto]]*1.5/220,0)</f>
        <v>54.545454545454547</v>
      </c>
    </row>
    <row r="7" spans="1:6" x14ac:dyDescent="0.3">
      <c r="A7" s="1" t="s">
        <v>24</v>
      </c>
      <c r="B7" s="1" t="s">
        <v>8</v>
      </c>
      <c r="C7" s="1" t="s">
        <v>15</v>
      </c>
      <c r="D7" s="2">
        <v>6500</v>
      </c>
      <c r="E7" s="1" t="s">
        <v>19</v>
      </c>
      <c r="F7" s="2">
        <f>IF(Tabela1[[#This Row],[Regime de contratação]]="CLT",Tabela1[[#This Row],[Salário bruto]]*1.5/220,0)</f>
        <v>44.31818181818182</v>
      </c>
    </row>
    <row r="8" spans="1:6" x14ac:dyDescent="0.3">
      <c r="A8" s="1" t="s">
        <v>25</v>
      </c>
      <c r="B8" s="1" t="s">
        <v>9</v>
      </c>
      <c r="C8" s="1" t="s">
        <v>16</v>
      </c>
      <c r="D8" s="2">
        <v>4000</v>
      </c>
      <c r="E8" s="1" t="s">
        <v>19</v>
      </c>
      <c r="F8" s="2">
        <f>IF(Tabela1[[#This Row],[Regime de contratação]]="CLT",Tabela1[[#This Row],[Salário bruto]]*1.5/220,0)</f>
        <v>27.272727272727273</v>
      </c>
    </row>
    <row r="9" spans="1:6" x14ac:dyDescent="0.3">
      <c r="A9" s="1" t="s">
        <v>26</v>
      </c>
      <c r="B9" s="1" t="s">
        <v>10</v>
      </c>
      <c r="C9" s="1" t="s">
        <v>17</v>
      </c>
      <c r="D9" s="2">
        <v>3000</v>
      </c>
      <c r="E9" s="1" t="s">
        <v>19</v>
      </c>
      <c r="F9" s="2">
        <f>IF(Tabela1[[#This Row],[Regime de contratação]]="CLT",Tabela1[[#This Row],[Salário bruto]]*1.5/220,0)</f>
        <v>20.454545454545453</v>
      </c>
    </row>
    <row r="10" spans="1:6" x14ac:dyDescent="0.3">
      <c r="A10" s="1" t="s">
        <v>27</v>
      </c>
      <c r="B10" s="1" t="s">
        <v>11</v>
      </c>
      <c r="C10" s="1" t="s">
        <v>13</v>
      </c>
      <c r="D10" s="2">
        <v>2000</v>
      </c>
      <c r="E10" s="1" t="s">
        <v>20</v>
      </c>
      <c r="F10" s="2">
        <f>IF(Tabela1[[#This Row],[Regime de contratação]]="CLT",Tabela1[[#This Row],[Salário bruto]]*1.5/220,0)</f>
        <v>0</v>
      </c>
    </row>
    <row r="11" spans="1:6" x14ac:dyDescent="0.3">
      <c r="A11" s="1" t="s">
        <v>28</v>
      </c>
      <c r="B11" s="1" t="s">
        <v>12</v>
      </c>
      <c r="C11" s="1" t="s">
        <v>14</v>
      </c>
      <c r="D11" s="2">
        <v>1000</v>
      </c>
      <c r="E11" s="1" t="s">
        <v>12</v>
      </c>
      <c r="F11" s="2">
        <f>IF(Tabela1[[#This Row],[Regime de contratação]]="CLT",Tabela1[[#This Row],[Salário bruto]]*1.5/220,0)</f>
        <v>0</v>
      </c>
    </row>
    <row r="12" spans="1:6" x14ac:dyDescent="0.3">
      <c r="A12" s="1" t="s">
        <v>29</v>
      </c>
      <c r="B12" s="1" t="s">
        <v>30</v>
      </c>
      <c r="C12" s="1" t="s">
        <v>16</v>
      </c>
      <c r="D12" s="2">
        <v>2400</v>
      </c>
      <c r="E12" s="1" t="s">
        <v>19</v>
      </c>
      <c r="F12" s="2">
        <f>IF(Tabela1[[#This Row],[Regime de contratação]]="CLT",Tabela1[[#This Row],[Salário bruto]]*1.5/220,0)</f>
        <v>16.363636363636363</v>
      </c>
    </row>
    <row r="13" spans="1:6" x14ac:dyDescent="0.3">
      <c r="A13" s="1" t="s">
        <v>31</v>
      </c>
      <c r="B13" s="1" t="s">
        <v>32</v>
      </c>
      <c r="C13" s="1" t="s">
        <v>14</v>
      </c>
      <c r="D13" s="2">
        <v>1800</v>
      </c>
      <c r="E13" s="1" t="s">
        <v>19</v>
      </c>
      <c r="F13" s="2">
        <f>IF(Tabela1[[#This Row],[Regime de contratação]]="CLT",Tabela1[[#This Row],[Salário bruto]]*1.5/220,0)</f>
        <v>12.272727272727273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28DE8-89C0-4872-873B-E7C5884B26D3}">
  <dimension ref="A1:K112"/>
  <sheetViews>
    <sheetView showGridLines="0" zoomScaleNormal="100" workbookViewId="0"/>
  </sheetViews>
  <sheetFormatPr defaultRowHeight="14.4" x14ac:dyDescent="0.3"/>
  <cols>
    <col min="1" max="1" width="19.5546875" bestFit="1" customWidth="1"/>
    <col min="2" max="2" width="13.6640625" customWidth="1"/>
    <col min="3" max="3" width="18.33203125" customWidth="1"/>
    <col min="4" max="4" width="14.88671875" customWidth="1"/>
    <col min="5" max="5" width="13" customWidth="1"/>
    <col min="6" max="6" width="19.21875" style="3" customWidth="1"/>
    <col min="7" max="7" width="12.44140625" style="3" customWidth="1"/>
    <col min="8" max="8" width="14.6640625" style="3" customWidth="1"/>
    <col min="9" max="9" width="17" style="3" customWidth="1"/>
    <col min="10" max="10" width="20.88671875" style="3" bestFit="1" customWidth="1"/>
    <col min="11" max="11" width="14.109375" style="3" customWidth="1"/>
  </cols>
  <sheetData>
    <row r="1" spans="1:11" s="8" customFormat="1" ht="55.2" customHeight="1" x14ac:dyDescent="0.3">
      <c r="C1" s="9"/>
      <c r="D1" s="10"/>
      <c r="F1" s="9" t="s">
        <v>33</v>
      </c>
    </row>
    <row r="4" spans="1:11" s="4" customFormat="1" ht="39" customHeight="1" x14ac:dyDescent="0.3">
      <c r="A4" s="13" t="s">
        <v>34</v>
      </c>
      <c r="B4" s="13" t="s">
        <v>35</v>
      </c>
      <c r="C4" s="13" t="s">
        <v>36</v>
      </c>
      <c r="D4" s="13" t="s">
        <v>37</v>
      </c>
      <c r="E4" s="13" t="s">
        <v>4</v>
      </c>
      <c r="F4" s="14" t="s">
        <v>38</v>
      </c>
      <c r="G4" s="14" t="s">
        <v>39</v>
      </c>
      <c r="H4" s="14" t="s">
        <v>40</v>
      </c>
      <c r="I4" s="14" t="s">
        <v>41</v>
      </c>
      <c r="J4" s="14" t="s">
        <v>42</v>
      </c>
      <c r="K4" s="14" t="s">
        <v>43</v>
      </c>
    </row>
    <row r="5" spans="1:11" ht="16.8" x14ac:dyDescent="0.4">
      <c r="A5" s="1" t="s">
        <v>22</v>
      </c>
      <c r="B5" s="6">
        <v>45292</v>
      </c>
      <c r="C5" s="7">
        <v>45323</v>
      </c>
      <c r="D5" s="5">
        <v>3</v>
      </c>
      <c r="E5" s="2">
        <f>VLOOKUP(Tabela2[[#This Row],[Funcionários]],'CADASTRO DE FUNCIONÁRIOS'!A:F,4,0)</f>
        <v>20000</v>
      </c>
      <c r="F5" s="2">
        <v>1000</v>
      </c>
      <c r="G5" s="2">
        <v>2400</v>
      </c>
      <c r="H5" s="2">
        <v>1800</v>
      </c>
      <c r="I5" s="2">
        <v>150</v>
      </c>
      <c r="J5" s="2">
        <f>Tabela2[[#This Row],[Quantidade HE]]*VLOOKUP(Tabela2[[#This Row],[Funcionários]],'CADASTRO DE FUNCIONÁRIOS'!A:F,6,0)</f>
        <v>0</v>
      </c>
      <c r="K5" s="2">
        <f>Tabela2[[#This Row],[Salário bruto]]-(SUM(Tabela2[[#This Row],[Desconto transporte]:[Outros descontos]]))+Tabela2[[#This Row],[Valor da hora extra]]</f>
        <v>14650</v>
      </c>
    </row>
    <row r="6" spans="1:11" ht="16.8" x14ac:dyDescent="0.4">
      <c r="A6" s="1" t="s">
        <v>23</v>
      </c>
      <c r="B6" s="6">
        <v>45292</v>
      </c>
      <c r="C6" s="7">
        <v>45323</v>
      </c>
      <c r="D6" s="5">
        <v>5</v>
      </c>
      <c r="E6" s="2">
        <f>VLOOKUP(Tabela2[[#This Row],[Funcionários]],'CADASTRO DE FUNCIONÁRIOS'!A:F,4,0)</f>
        <v>8000</v>
      </c>
      <c r="F6" s="2">
        <v>560</v>
      </c>
      <c r="G6" s="2">
        <v>960</v>
      </c>
      <c r="H6" s="2">
        <v>640</v>
      </c>
      <c r="I6" s="2">
        <v>137</v>
      </c>
      <c r="J6" s="2">
        <f>Tabela2[[#This Row],[Quantidade HE]]*VLOOKUP(Tabela2[[#This Row],[Funcionários]],'CADASTRO DE FUNCIONÁRIOS'!A:F,6,0)</f>
        <v>272.72727272727275</v>
      </c>
      <c r="K6" s="2">
        <f>Tabela2[[#This Row],[Salário bruto]]-(SUM(Tabela2[[#This Row],[Desconto transporte]:[Outros descontos]]))+Tabela2[[#This Row],[Valor da hora extra]]</f>
        <v>5975.727272727273</v>
      </c>
    </row>
    <row r="7" spans="1:11" ht="16.8" x14ac:dyDescent="0.4">
      <c r="A7" s="1" t="s">
        <v>24</v>
      </c>
      <c r="B7" s="6">
        <v>45292</v>
      </c>
      <c r="C7" s="7">
        <v>45323</v>
      </c>
      <c r="D7" s="5">
        <v>2</v>
      </c>
      <c r="E7" s="2">
        <f>VLOOKUP(Tabela2[[#This Row],[Funcionários]],'CADASTRO DE FUNCIONÁRIOS'!A:F,4,0)</f>
        <v>6500</v>
      </c>
      <c r="F7" s="2">
        <v>390</v>
      </c>
      <c r="G7" s="2">
        <v>715</v>
      </c>
      <c r="H7" s="2">
        <v>650</v>
      </c>
      <c r="I7" s="2">
        <v>119</v>
      </c>
      <c r="J7" s="2">
        <f>Tabela2[[#This Row],[Quantidade HE]]*VLOOKUP(Tabela2[[#This Row],[Funcionários]],'CADASTRO DE FUNCIONÁRIOS'!A:F,6,0)</f>
        <v>88.63636363636364</v>
      </c>
      <c r="K7" s="2">
        <f>Tabela2[[#This Row],[Salário bruto]]-(SUM(Tabela2[[#This Row],[Desconto transporte]:[Outros descontos]]))+Tabela2[[#This Row],[Valor da hora extra]]</f>
        <v>4714.636363636364</v>
      </c>
    </row>
    <row r="8" spans="1:11" ht="16.8" x14ac:dyDescent="0.4">
      <c r="A8" s="1" t="s">
        <v>25</v>
      </c>
      <c r="B8" s="6">
        <v>45292</v>
      </c>
      <c r="C8" s="7">
        <v>45323</v>
      </c>
      <c r="D8" s="5">
        <v>3</v>
      </c>
      <c r="E8" s="2">
        <f>VLOOKUP(Tabela2[[#This Row],[Funcionários]],'CADASTRO DE FUNCIONÁRIOS'!A:F,4,0)</f>
        <v>4000</v>
      </c>
      <c r="F8" s="2">
        <v>240</v>
      </c>
      <c r="G8" s="2">
        <v>480</v>
      </c>
      <c r="H8" s="2">
        <v>280</v>
      </c>
      <c r="I8" s="2">
        <v>142</v>
      </c>
      <c r="J8" s="2">
        <f>Tabela2[[#This Row],[Quantidade HE]]*VLOOKUP(Tabela2[[#This Row],[Funcionários]],'CADASTRO DE FUNCIONÁRIOS'!A:F,6,0)</f>
        <v>81.818181818181813</v>
      </c>
      <c r="K8" s="2">
        <f>Tabela2[[#This Row],[Salário bruto]]-(SUM(Tabela2[[#This Row],[Desconto transporte]:[Outros descontos]]))+Tabela2[[#This Row],[Valor da hora extra]]</f>
        <v>2939.818181818182</v>
      </c>
    </row>
    <row r="9" spans="1:11" ht="16.8" x14ac:dyDescent="0.4">
      <c r="A9" s="1" t="s">
        <v>26</v>
      </c>
      <c r="B9" s="6">
        <v>45292</v>
      </c>
      <c r="C9" s="7">
        <v>45323</v>
      </c>
      <c r="D9" s="5">
        <v>2</v>
      </c>
      <c r="E9" s="2">
        <f>VLOOKUP(Tabela2[[#This Row],[Funcionários]],'CADASTRO DE FUNCIONÁRIOS'!A:F,4,0)</f>
        <v>3000</v>
      </c>
      <c r="F9" s="2">
        <v>180</v>
      </c>
      <c r="G9" s="2">
        <v>300</v>
      </c>
      <c r="H9" s="2">
        <v>210</v>
      </c>
      <c r="I9" s="2">
        <v>144</v>
      </c>
      <c r="J9" s="2">
        <f>Tabela2[[#This Row],[Quantidade HE]]*VLOOKUP(Tabela2[[#This Row],[Funcionários]],'CADASTRO DE FUNCIONÁRIOS'!A:F,6,0)</f>
        <v>40.909090909090907</v>
      </c>
      <c r="K9" s="2">
        <f>Tabela2[[#This Row],[Salário bruto]]-(SUM(Tabela2[[#This Row],[Desconto transporte]:[Outros descontos]]))+Tabela2[[#This Row],[Valor da hora extra]]</f>
        <v>2206.909090909091</v>
      </c>
    </row>
    <row r="10" spans="1:11" ht="16.8" x14ac:dyDescent="0.4">
      <c r="A10" s="1" t="s">
        <v>27</v>
      </c>
      <c r="B10" s="6">
        <v>45292</v>
      </c>
      <c r="C10" s="7">
        <v>45323</v>
      </c>
      <c r="D10" s="5">
        <v>6</v>
      </c>
      <c r="E10" s="2">
        <f>VLOOKUP(Tabela2[[#This Row],[Funcionários]],'CADASTRO DE FUNCIONÁRIOS'!A:F,4,0)</f>
        <v>2000</v>
      </c>
      <c r="F10" s="2">
        <v>120</v>
      </c>
      <c r="G10" s="2">
        <v>220</v>
      </c>
      <c r="H10" s="2">
        <v>200</v>
      </c>
      <c r="I10" s="2">
        <v>108</v>
      </c>
      <c r="J10" s="2">
        <f>Tabela2[[#This Row],[Quantidade HE]]*VLOOKUP(Tabela2[[#This Row],[Funcionários]],'CADASTRO DE FUNCIONÁRIOS'!A:F,6,0)</f>
        <v>0</v>
      </c>
      <c r="K10" s="2">
        <f>Tabela2[[#This Row],[Salário bruto]]-(SUM(Tabela2[[#This Row],[Desconto transporte]:[Outros descontos]]))+Tabela2[[#This Row],[Valor da hora extra]]</f>
        <v>1352</v>
      </c>
    </row>
    <row r="11" spans="1:11" ht="16.8" x14ac:dyDescent="0.4">
      <c r="A11" s="1" t="s">
        <v>28</v>
      </c>
      <c r="B11" s="6">
        <v>45292</v>
      </c>
      <c r="C11" s="7">
        <v>45323</v>
      </c>
      <c r="D11" s="5">
        <v>7</v>
      </c>
      <c r="E11" s="2">
        <f>VLOOKUP(Tabela2[[#This Row],[Funcionários]],'CADASTRO DE FUNCIONÁRIOS'!A:F,4,0)</f>
        <v>1000</v>
      </c>
      <c r="F11" s="2">
        <v>70</v>
      </c>
      <c r="G11" s="2">
        <v>120</v>
      </c>
      <c r="H11" s="2">
        <v>90</v>
      </c>
      <c r="I11" s="2">
        <v>135</v>
      </c>
      <c r="J11" s="2">
        <f>Tabela2[[#This Row],[Quantidade HE]]*VLOOKUP(Tabela2[[#This Row],[Funcionários]],'CADASTRO DE FUNCIONÁRIOS'!A:F,6,0)</f>
        <v>0</v>
      </c>
      <c r="K11" s="2">
        <f>Tabela2[[#This Row],[Salário bruto]]-(SUM(Tabela2[[#This Row],[Desconto transporte]:[Outros descontos]]))+Tabela2[[#This Row],[Valor da hora extra]]</f>
        <v>585</v>
      </c>
    </row>
    <row r="12" spans="1:11" ht="16.8" x14ac:dyDescent="0.4">
      <c r="A12" s="1" t="s">
        <v>29</v>
      </c>
      <c r="B12" s="6">
        <v>45292</v>
      </c>
      <c r="C12" s="7">
        <v>45323</v>
      </c>
      <c r="D12" s="5">
        <v>3</v>
      </c>
      <c r="E12" s="2">
        <f>VLOOKUP(Tabela2[[#This Row],[Funcionários]],'CADASTRO DE FUNCIONÁRIOS'!A:F,4,0)</f>
        <v>2400</v>
      </c>
      <c r="F12" s="2">
        <v>100</v>
      </c>
      <c r="G12" s="2">
        <v>220</v>
      </c>
      <c r="H12" s="2">
        <v>200</v>
      </c>
      <c r="I12" s="2">
        <v>113</v>
      </c>
      <c r="J12" s="2">
        <f>Tabela2[[#This Row],[Quantidade HE]]*VLOOKUP(Tabela2[[#This Row],[Funcionários]],'CADASTRO DE FUNCIONÁRIOS'!A:F,6,0)</f>
        <v>49.090909090909093</v>
      </c>
      <c r="K12" s="2">
        <f>Tabela2[[#This Row],[Salário bruto]]-(SUM(Tabela2[[#This Row],[Desconto transporte]:[Outros descontos]]))+Tabela2[[#This Row],[Valor da hora extra]]</f>
        <v>1816.090909090909</v>
      </c>
    </row>
    <row r="13" spans="1:11" ht="16.8" x14ac:dyDescent="0.4">
      <c r="A13" s="1" t="s">
        <v>31</v>
      </c>
      <c r="B13" s="6">
        <v>45292</v>
      </c>
      <c r="C13" s="7">
        <v>45323</v>
      </c>
      <c r="D13" s="5">
        <v>6</v>
      </c>
      <c r="E13" s="2">
        <f>VLOOKUP(Tabela2[[#This Row],[Funcionários]],'CADASTRO DE FUNCIONÁRIOS'!A:F,4,0)</f>
        <v>1800</v>
      </c>
      <c r="F13" s="2">
        <v>150</v>
      </c>
      <c r="G13" s="2">
        <v>160</v>
      </c>
      <c r="H13" s="2">
        <v>215</v>
      </c>
      <c r="I13" s="2">
        <v>134</v>
      </c>
      <c r="J13" s="2">
        <f>Tabela2[[#This Row],[Quantidade HE]]*VLOOKUP(Tabela2[[#This Row],[Funcionários]],'CADASTRO DE FUNCIONÁRIOS'!A:F,6,0)</f>
        <v>73.63636363636364</v>
      </c>
      <c r="K13" s="2">
        <f>Tabela2[[#This Row],[Salário bruto]]-(SUM(Tabela2[[#This Row],[Desconto transporte]:[Outros descontos]]))+Tabela2[[#This Row],[Valor da hora extra]]</f>
        <v>1214.6363636363637</v>
      </c>
    </row>
    <row r="14" spans="1:11" ht="16.8" x14ac:dyDescent="0.4">
      <c r="A14" s="1" t="s">
        <v>22</v>
      </c>
      <c r="B14" s="6">
        <v>45323</v>
      </c>
      <c r="C14" s="7">
        <v>45352</v>
      </c>
      <c r="D14" s="5">
        <v>4</v>
      </c>
      <c r="E14" s="2">
        <f>VLOOKUP(Tabela2[[#This Row],[Funcionários]],'CADASTRO DE FUNCIONÁRIOS'!A:F,4,0)</f>
        <v>20000</v>
      </c>
      <c r="F14" s="2">
        <v>1000</v>
      </c>
      <c r="G14" s="2">
        <v>2400</v>
      </c>
      <c r="H14" s="2">
        <v>1800</v>
      </c>
      <c r="I14" s="2">
        <v>154</v>
      </c>
      <c r="J14" s="2">
        <f>Tabela2[[#This Row],[Quantidade HE]]*VLOOKUP(Tabela2[[#This Row],[Funcionários]],'CADASTRO DE FUNCIONÁRIOS'!A:F,6,0)</f>
        <v>0</v>
      </c>
      <c r="K14" s="2">
        <f>Tabela2[[#This Row],[Salário bruto]]-(SUM(Tabela2[[#This Row],[Desconto transporte]:[Outros descontos]]))+Tabela2[[#This Row],[Valor da hora extra]]</f>
        <v>14646</v>
      </c>
    </row>
    <row r="15" spans="1:11" ht="16.8" x14ac:dyDescent="0.4">
      <c r="A15" s="1" t="s">
        <v>23</v>
      </c>
      <c r="B15" s="6">
        <v>45323</v>
      </c>
      <c r="C15" s="7">
        <v>45352</v>
      </c>
      <c r="D15" s="5">
        <v>2</v>
      </c>
      <c r="E15" s="2">
        <f>VLOOKUP(Tabela2[[#This Row],[Funcionários]],'CADASTRO DE FUNCIONÁRIOS'!A:F,4,0)</f>
        <v>8000</v>
      </c>
      <c r="F15" s="2">
        <v>560</v>
      </c>
      <c r="G15" s="2">
        <v>960</v>
      </c>
      <c r="H15" s="2">
        <v>640</v>
      </c>
      <c r="I15" s="2">
        <v>126</v>
      </c>
      <c r="J15" s="2">
        <f>Tabela2[[#This Row],[Quantidade HE]]*VLOOKUP(Tabela2[[#This Row],[Funcionários]],'CADASTRO DE FUNCIONÁRIOS'!A:F,6,0)</f>
        <v>109.09090909090909</v>
      </c>
      <c r="K15" s="2">
        <f>Tabela2[[#This Row],[Salário bruto]]-(SUM(Tabela2[[#This Row],[Desconto transporte]:[Outros descontos]]))+Tabela2[[#This Row],[Valor da hora extra]]</f>
        <v>5823.090909090909</v>
      </c>
    </row>
    <row r="16" spans="1:11" ht="16.8" x14ac:dyDescent="0.4">
      <c r="A16" s="1" t="s">
        <v>24</v>
      </c>
      <c r="B16" s="6">
        <v>45323</v>
      </c>
      <c r="C16" s="7">
        <v>45352</v>
      </c>
      <c r="D16" s="5">
        <v>7</v>
      </c>
      <c r="E16" s="2">
        <f>VLOOKUP(Tabela2[[#This Row],[Funcionários]],'CADASTRO DE FUNCIONÁRIOS'!A:F,4,0)</f>
        <v>6500</v>
      </c>
      <c r="F16" s="2">
        <v>390</v>
      </c>
      <c r="G16" s="2">
        <v>715</v>
      </c>
      <c r="H16" s="2">
        <v>650</v>
      </c>
      <c r="I16" s="2">
        <v>149</v>
      </c>
      <c r="J16" s="2">
        <f>Tabela2[[#This Row],[Quantidade HE]]*VLOOKUP(Tabela2[[#This Row],[Funcionários]],'CADASTRO DE FUNCIONÁRIOS'!A:F,6,0)</f>
        <v>310.22727272727275</v>
      </c>
      <c r="K16" s="2">
        <f>Tabela2[[#This Row],[Salário bruto]]-(SUM(Tabela2[[#This Row],[Desconto transporte]:[Outros descontos]]))+Tabela2[[#This Row],[Valor da hora extra]]</f>
        <v>4906.227272727273</v>
      </c>
    </row>
    <row r="17" spans="1:11" ht="16.8" x14ac:dyDescent="0.4">
      <c r="A17" s="1" t="s">
        <v>25</v>
      </c>
      <c r="B17" s="6">
        <v>45323</v>
      </c>
      <c r="C17" s="7">
        <v>45352</v>
      </c>
      <c r="D17" s="5">
        <v>7</v>
      </c>
      <c r="E17" s="2">
        <f>VLOOKUP(Tabela2[[#This Row],[Funcionários]],'CADASTRO DE FUNCIONÁRIOS'!A:F,4,0)</f>
        <v>4000</v>
      </c>
      <c r="F17" s="2">
        <v>240</v>
      </c>
      <c r="G17" s="2">
        <v>480</v>
      </c>
      <c r="H17" s="2">
        <v>280</v>
      </c>
      <c r="I17" s="2">
        <v>139</v>
      </c>
      <c r="J17" s="2">
        <f>Tabela2[[#This Row],[Quantidade HE]]*VLOOKUP(Tabela2[[#This Row],[Funcionários]],'CADASTRO DE FUNCIONÁRIOS'!A:F,6,0)</f>
        <v>190.90909090909091</v>
      </c>
      <c r="K17" s="2">
        <f>Tabela2[[#This Row],[Salário bruto]]-(SUM(Tabela2[[#This Row],[Desconto transporte]:[Outros descontos]]))+Tabela2[[#This Row],[Valor da hora extra]]</f>
        <v>3051.909090909091</v>
      </c>
    </row>
    <row r="18" spans="1:11" ht="16.8" x14ac:dyDescent="0.4">
      <c r="A18" s="1" t="s">
        <v>26</v>
      </c>
      <c r="B18" s="6">
        <v>45323</v>
      </c>
      <c r="C18" s="7">
        <v>45352</v>
      </c>
      <c r="D18" s="5">
        <v>0</v>
      </c>
      <c r="E18" s="2">
        <f>VLOOKUP(Tabela2[[#This Row],[Funcionários]],'CADASTRO DE FUNCIONÁRIOS'!A:F,4,0)</f>
        <v>3000</v>
      </c>
      <c r="F18" s="2">
        <v>180</v>
      </c>
      <c r="G18" s="2">
        <v>300</v>
      </c>
      <c r="H18" s="2">
        <v>210</v>
      </c>
      <c r="I18" s="2">
        <v>112</v>
      </c>
      <c r="J18" s="2">
        <f>Tabela2[[#This Row],[Quantidade HE]]*VLOOKUP(Tabela2[[#This Row],[Funcionários]],'CADASTRO DE FUNCIONÁRIOS'!A:F,6,0)</f>
        <v>0</v>
      </c>
      <c r="K18" s="2">
        <f>Tabela2[[#This Row],[Salário bruto]]-(SUM(Tabela2[[#This Row],[Desconto transporte]:[Outros descontos]]))+Tabela2[[#This Row],[Valor da hora extra]]</f>
        <v>2198</v>
      </c>
    </row>
    <row r="19" spans="1:11" ht="16.8" x14ac:dyDescent="0.4">
      <c r="A19" s="1" t="s">
        <v>27</v>
      </c>
      <c r="B19" s="6">
        <v>45323</v>
      </c>
      <c r="C19" s="7">
        <v>45352</v>
      </c>
      <c r="D19" s="5">
        <v>0</v>
      </c>
      <c r="E19" s="2">
        <f>VLOOKUP(Tabela2[[#This Row],[Funcionários]],'CADASTRO DE FUNCIONÁRIOS'!A:F,4,0)</f>
        <v>2000</v>
      </c>
      <c r="F19" s="2">
        <v>120</v>
      </c>
      <c r="G19" s="2">
        <v>220</v>
      </c>
      <c r="H19" s="2">
        <v>200</v>
      </c>
      <c r="I19" s="2">
        <v>138</v>
      </c>
      <c r="J19" s="2">
        <f>Tabela2[[#This Row],[Quantidade HE]]*VLOOKUP(Tabela2[[#This Row],[Funcionários]],'CADASTRO DE FUNCIONÁRIOS'!A:F,6,0)</f>
        <v>0</v>
      </c>
      <c r="K19" s="2">
        <f>Tabela2[[#This Row],[Salário bruto]]-(SUM(Tabela2[[#This Row],[Desconto transporte]:[Outros descontos]]))+Tabela2[[#This Row],[Valor da hora extra]]</f>
        <v>1322</v>
      </c>
    </row>
    <row r="20" spans="1:11" ht="16.8" x14ac:dyDescent="0.4">
      <c r="A20" s="1" t="s">
        <v>28</v>
      </c>
      <c r="B20" s="6">
        <v>45323</v>
      </c>
      <c r="C20" s="7">
        <v>45352</v>
      </c>
      <c r="D20" s="5">
        <v>6</v>
      </c>
      <c r="E20" s="2">
        <f>VLOOKUP(Tabela2[[#This Row],[Funcionários]],'CADASTRO DE FUNCIONÁRIOS'!A:F,4,0)</f>
        <v>1000</v>
      </c>
      <c r="F20" s="2">
        <v>70</v>
      </c>
      <c r="G20" s="2">
        <v>120</v>
      </c>
      <c r="H20" s="2">
        <v>90</v>
      </c>
      <c r="I20" s="2">
        <v>147</v>
      </c>
      <c r="J20" s="2">
        <f>Tabela2[[#This Row],[Quantidade HE]]*VLOOKUP(Tabela2[[#This Row],[Funcionários]],'CADASTRO DE FUNCIONÁRIOS'!A:F,6,0)</f>
        <v>0</v>
      </c>
      <c r="K20" s="2">
        <f>Tabela2[[#This Row],[Salário bruto]]-(SUM(Tabela2[[#This Row],[Desconto transporte]:[Outros descontos]]))+Tabela2[[#This Row],[Valor da hora extra]]</f>
        <v>573</v>
      </c>
    </row>
    <row r="21" spans="1:11" ht="16.8" x14ac:dyDescent="0.4">
      <c r="A21" s="1" t="s">
        <v>29</v>
      </c>
      <c r="B21" s="6">
        <v>45323</v>
      </c>
      <c r="C21" s="7">
        <v>45352</v>
      </c>
      <c r="D21" s="5">
        <v>1</v>
      </c>
      <c r="E21" s="2">
        <f>VLOOKUP(Tabela2[[#This Row],[Funcionários]],'CADASTRO DE FUNCIONÁRIOS'!A:F,4,0)</f>
        <v>2400</v>
      </c>
      <c r="F21" s="2">
        <v>100</v>
      </c>
      <c r="G21" s="2">
        <v>220</v>
      </c>
      <c r="H21" s="2">
        <v>200</v>
      </c>
      <c r="I21" s="2">
        <v>134</v>
      </c>
      <c r="J21" s="2">
        <f>Tabela2[[#This Row],[Quantidade HE]]*VLOOKUP(Tabela2[[#This Row],[Funcionários]],'CADASTRO DE FUNCIONÁRIOS'!A:F,6,0)</f>
        <v>16.363636363636363</v>
      </c>
      <c r="K21" s="2">
        <f>Tabela2[[#This Row],[Salário bruto]]-(SUM(Tabela2[[#This Row],[Desconto transporte]:[Outros descontos]]))+Tabela2[[#This Row],[Valor da hora extra]]</f>
        <v>1762.3636363636363</v>
      </c>
    </row>
    <row r="22" spans="1:11" ht="16.8" x14ac:dyDescent="0.4">
      <c r="A22" s="1" t="s">
        <v>31</v>
      </c>
      <c r="B22" s="6">
        <v>45323</v>
      </c>
      <c r="C22" s="7">
        <v>45352</v>
      </c>
      <c r="D22" s="5">
        <v>0</v>
      </c>
      <c r="E22" s="2">
        <f>VLOOKUP(Tabela2[[#This Row],[Funcionários]],'CADASTRO DE FUNCIONÁRIOS'!A:F,4,0)</f>
        <v>1800</v>
      </c>
      <c r="F22" s="2">
        <v>150</v>
      </c>
      <c r="G22" s="2">
        <v>160</v>
      </c>
      <c r="H22" s="2">
        <v>215</v>
      </c>
      <c r="I22" s="2">
        <v>158</v>
      </c>
      <c r="J22" s="2">
        <f>Tabela2[[#This Row],[Quantidade HE]]*VLOOKUP(Tabela2[[#This Row],[Funcionários]],'CADASTRO DE FUNCIONÁRIOS'!A:F,6,0)</f>
        <v>0</v>
      </c>
      <c r="K22" s="2">
        <f>Tabela2[[#This Row],[Salário bruto]]-(SUM(Tabela2[[#This Row],[Desconto transporte]:[Outros descontos]]))+Tabela2[[#This Row],[Valor da hora extra]]</f>
        <v>1117</v>
      </c>
    </row>
    <row r="23" spans="1:11" ht="16.8" x14ac:dyDescent="0.4">
      <c r="A23" s="1" t="s">
        <v>22</v>
      </c>
      <c r="B23" s="6">
        <v>45352</v>
      </c>
      <c r="C23" s="7">
        <v>45383</v>
      </c>
      <c r="D23" s="5">
        <v>7</v>
      </c>
      <c r="E23" s="2">
        <f>VLOOKUP(Tabela2[[#This Row],[Funcionários]],'CADASTRO DE FUNCIONÁRIOS'!A:F,4,0)</f>
        <v>20000</v>
      </c>
      <c r="F23" s="2">
        <v>1000</v>
      </c>
      <c r="G23" s="2">
        <v>2400</v>
      </c>
      <c r="H23" s="2">
        <v>1800</v>
      </c>
      <c r="I23" s="2">
        <v>116</v>
      </c>
      <c r="J23" s="2">
        <f>Tabela2[[#This Row],[Quantidade HE]]*VLOOKUP(Tabela2[[#This Row],[Funcionários]],'CADASTRO DE FUNCIONÁRIOS'!A:F,6,0)</f>
        <v>0</v>
      </c>
      <c r="K23" s="2">
        <f>Tabela2[[#This Row],[Salário bruto]]-(SUM(Tabela2[[#This Row],[Desconto transporte]:[Outros descontos]]))+Tabela2[[#This Row],[Valor da hora extra]]</f>
        <v>14684</v>
      </c>
    </row>
    <row r="24" spans="1:11" ht="16.8" x14ac:dyDescent="0.4">
      <c r="A24" s="1" t="s">
        <v>23</v>
      </c>
      <c r="B24" s="6">
        <v>45352</v>
      </c>
      <c r="C24" s="7">
        <v>45383</v>
      </c>
      <c r="D24" s="5">
        <v>5</v>
      </c>
      <c r="E24" s="2">
        <f>VLOOKUP(Tabela2[[#This Row],[Funcionários]],'CADASTRO DE FUNCIONÁRIOS'!A:F,4,0)</f>
        <v>8000</v>
      </c>
      <c r="F24" s="2">
        <v>560</v>
      </c>
      <c r="G24" s="2">
        <v>960</v>
      </c>
      <c r="H24" s="2">
        <v>640</v>
      </c>
      <c r="I24" s="2">
        <v>109</v>
      </c>
      <c r="J24" s="2">
        <f>Tabela2[[#This Row],[Quantidade HE]]*VLOOKUP(Tabela2[[#This Row],[Funcionários]],'CADASTRO DE FUNCIONÁRIOS'!A:F,6,0)</f>
        <v>272.72727272727275</v>
      </c>
      <c r="K24" s="2">
        <f>Tabela2[[#This Row],[Salário bruto]]-(SUM(Tabela2[[#This Row],[Desconto transporte]:[Outros descontos]]))+Tabela2[[#This Row],[Valor da hora extra]]</f>
        <v>6003.727272727273</v>
      </c>
    </row>
    <row r="25" spans="1:11" ht="16.8" x14ac:dyDescent="0.4">
      <c r="A25" s="1" t="s">
        <v>24</v>
      </c>
      <c r="B25" s="6">
        <v>45352</v>
      </c>
      <c r="C25" s="7">
        <v>45383</v>
      </c>
      <c r="D25" s="5">
        <v>4</v>
      </c>
      <c r="E25" s="2">
        <f>VLOOKUP(Tabela2[[#This Row],[Funcionários]],'CADASTRO DE FUNCIONÁRIOS'!A:F,4,0)</f>
        <v>6500</v>
      </c>
      <c r="F25" s="2">
        <v>390</v>
      </c>
      <c r="G25" s="2">
        <v>715</v>
      </c>
      <c r="H25" s="2">
        <v>650</v>
      </c>
      <c r="I25" s="2">
        <v>107</v>
      </c>
      <c r="J25" s="2">
        <f>Tabela2[[#This Row],[Quantidade HE]]*VLOOKUP(Tabela2[[#This Row],[Funcionários]],'CADASTRO DE FUNCIONÁRIOS'!A:F,6,0)</f>
        <v>177.27272727272728</v>
      </c>
      <c r="K25" s="2">
        <f>Tabela2[[#This Row],[Salário bruto]]-(SUM(Tabela2[[#This Row],[Desconto transporte]:[Outros descontos]]))+Tabela2[[#This Row],[Valor da hora extra]]</f>
        <v>4815.272727272727</v>
      </c>
    </row>
    <row r="26" spans="1:11" ht="16.8" x14ac:dyDescent="0.4">
      <c r="A26" s="1" t="s">
        <v>25</v>
      </c>
      <c r="B26" s="6">
        <v>45352</v>
      </c>
      <c r="C26" s="7">
        <v>45383</v>
      </c>
      <c r="D26" s="5">
        <v>3</v>
      </c>
      <c r="E26" s="2">
        <f>VLOOKUP(Tabela2[[#This Row],[Funcionários]],'CADASTRO DE FUNCIONÁRIOS'!A:F,4,0)</f>
        <v>4000</v>
      </c>
      <c r="F26" s="2">
        <v>240</v>
      </c>
      <c r="G26" s="2">
        <v>480</v>
      </c>
      <c r="H26" s="2">
        <v>280</v>
      </c>
      <c r="I26" s="2">
        <v>151</v>
      </c>
      <c r="J26" s="2">
        <f>Tabela2[[#This Row],[Quantidade HE]]*VLOOKUP(Tabela2[[#This Row],[Funcionários]],'CADASTRO DE FUNCIONÁRIOS'!A:F,6,0)</f>
        <v>81.818181818181813</v>
      </c>
      <c r="K26" s="2">
        <f>Tabela2[[#This Row],[Salário bruto]]-(SUM(Tabela2[[#This Row],[Desconto transporte]:[Outros descontos]]))+Tabela2[[#This Row],[Valor da hora extra]]</f>
        <v>2930.818181818182</v>
      </c>
    </row>
    <row r="27" spans="1:11" ht="16.8" x14ac:dyDescent="0.4">
      <c r="A27" s="1" t="s">
        <v>26</v>
      </c>
      <c r="B27" s="6">
        <v>45352</v>
      </c>
      <c r="C27" s="7">
        <v>45383</v>
      </c>
      <c r="D27" s="5">
        <v>5</v>
      </c>
      <c r="E27" s="2">
        <f>VLOOKUP(Tabela2[[#This Row],[Funcionários]],'CADASTRO DE FUNCIONÁRIOS'!A:F,4,0)</f>
        <v>3000</v>
      </c>
      <c r="F27" s="2">
        <v>180</v>
      </c>
      <c r="G27" s="2">
        <v>300</v>
      </c>
      <c r="H27" s="2">
        <v>210</v>
      </c>
      <c r="I27" s="2">
        <v>147</v>
      </c>
      <c r="J27" s="2">
        <f>Tabela2[[#This Row],[Quantidade HE]]*VLOOKUP(Tabela2[[#This Row],[Funcionários]],'CADASTRO DE FUNCIONÁRIOS'!A:F,6,0)</f>
        <v>102.27272727272727</v>
      </c>
      <c r="K27" s="2">
        <f>Tabela2[[#This Row],[Salário bruto]]-(SUM(Tabela2[[#This Row],[Desconto transporte]:[Outros descontos]]))+Tabela2[[#This Row],[Valor da hora extra]]</f>
        <v>2265.2727272727275</v>
      </c>
    </row>
    <row r="28" spans="1:11" ht="16.8" x14ac:dyDescent="0.4">
      <c r="A28" s="1" t="s">
        <v>27</v>
      </c>
      <c r="B28" s="6">
        <v>45352</v>
      </c>
      <c r="C28" s="7">
        <v>45383</v>
      </c>
      <c r="D28" s="5">
        <v>2</v>
      </c>
      <c r="E28" s="2">
        <f>VLOOKUP(Tabela2[[#This Row],[Funcionários]],'CADASTRO DE FUNCIONÁRIOS'!A:F,4,0)</f>
        <v>2000</v>
      </c>
      <c r="F28" s="2">
        <v>120</v>
      </c>
      <c r="G28" s="2">
        <v>220</v>
      </c>
      <c r="H28" s="2">
        <v>200</v>
      </c>
      <c r="I28" s="2">
        <v>153</v>
      </c>
      <c r="J28" s="2">
        <f>Tabela2[[#This Row],[Quantidade HE]]*VLOOKUP(Tabela2[[#This Row],[Funcionários]],'CADASTRO DE FUNCIONÁRIOS'!A:F,6,0)</f>
        <v>0</v>
      </c>
      <c r="K28" s="2">
        <f>Tabela2[[#This Row],[Salário bruto]]-(SUM(Tabela2[[#This Row],[Desconto transporte]:[Outros descontos]]))+Tabela2[[#This Row],[Valor da hora extra]]</f>
        <v>1307</v>
      </c>
    </row>
    <row r="29" spans="1:11" ht="16.8" x14ac:dyDescent="0.4">
      <c r="A29" s="1" t="s">
        <v>28</v>
      </c>
      <c r="B29" s="6">
        <v>45352</v>
      </c>
      <c r="C29" s="7">
        <v>45383</v>
      </c>
      <c r="D29" s="5">
        <v>2</v>
      </c>
      <c r="E29" s="2">
        <f>VLOOKUP(Tabela2[[#This Row],[Funcionários]],'CADASTRO DE FUNCIONÁRIOS'!A:F,4,0)</f>
        <v>1000</v>
      </c>
      <c r="F29" s="2">
        <v>70</v>
      </c>
      <c r="G29" s="2">
        <v>120</v>
      </c>
      <c r="H29" s="2">
        <v>90</v>
      </c>
      <c r="I29" s="2">
        <v>139</v>
      </c>
      <c r="J29" s="2">
        <f>Tabela2[[#This Row],[Quantidade HE]]*VLOOKUP(Tabela2[[#This Row],[Funcionários]],'CADASTRO DE FUNCIONÁRIOS'!A:F,6,0)</f>
        <v>0</v>
      </c>
      <c r="K29" s="2">
        <f>Tabela2[[#This Row],[Salário bruto]]-(SUM(Tabela2[[#This Row],[Desconto transporte]:[Outros descontos]]))+Tabela2[[#This Row],[Valor da hora extra]]</f>
        <v>581</v>
      </c>
    </row>
    <row r="30" spans="1:11" ht="16.8" x14ac:dyDescent="0.4">
      <c r="A30" s="1" t="s">
        <v>29</v>
      </c>
      <c r="B30" s="6">
        <v>45352</v>
      </c>
      <c r="C30" s="7">
        <v>45383</v>
      </c>
      <c r="D30" s="5">
        <v>4</v>
      </c>
      <c r="E30" s="2">
        <f>VLOOKUP(Tabela2[[#This Row],[Funcionários]],'CADASTRO DE FUNCIONÁRIOS'!A:F,4,0)</f>
        <v>2400</v>
      </c>
      <c r="F30" s="2">
        <v>100</v>
      </c>
      <c r="G30" s="2">
        <v>220</v>
      </c>
      <c r="H30" s="2">
        <v>200</v>
      </c>
      <c r="I30" s="2">
        <v>106</v>
      </c>
      <c r="J30" s="2">
        <f>Tabela2[[#This Row],[Quantidade HE]]*VLOOKUP(Tabela2[[#This Row],[Funcionários]],'CADASTRO DE FUNCIONÁRIOS'!A:F,6,0)</f>
        <v>65.454545454545453</v>
      </c>
      <c r="K30" s="2">
        <f>Tabela2[[#This Row],[Salário bruto]]-(SUM(Tabela2[[#This Row],[Desconto transporte]:[Outros descontos]]))+Tabela2[[#This Row],[Valor da hora extra]]</f>
        <v>1839.4545454545455</v>
      </c>
    </row>
    <row r="31" spans="1:11" ht="16.8" x14ac:dyDescent="0.4">
      <c r="A31" s="1" t="s">
        <v>31</v>
      </c>
      <c r="B31" s="6">
        <v>45352</v>
      </c>
      <c r="C31" s="7">
        <v>45383</v>
      </c>
      <c r="D31" s="5">
        <v>0</v>
      </c>
      <c r="E31" s="2">
        <f>VLOOKUP(Tabela2[[#This Row],[Funcionários]],'CADASTRO DE FUNCIONÁRIOS'!A:F,4,0)</f>
        <v>1800</v>
      </c>
      <c r="F31" s="2">
        <v>150</v>
      </c>
      <c r="G31" s="2">
        <v>160</v>
      </c>
      <c r="H31" s="2">
        <v>215</v>
      </c>
      <c r="I31" s="2">
        <v>141</v>
      </c>
      <c r="J31" s="2">
        <f>Tabela2[[#This Row],[Quantidade HE]]*VLOOKUP(Tabela2[[#This Row],[Funcionários]],'CADASTRO DE FUNCIONÁRIOS'!A:F,6,0)</f>
        <v>0</v>
      </c>
      <c r="K31" s="2">
        <f>Tabela2[[#This Row],[Salário bruto]]-(SUM(Tabela2[[#This Row],[Desconto transporte]:[Outros descontos]]))+Tabela2[[#This Row],[Valor da hora extra]]</f>
        <v>1134</v>
      </c>
    </row>
    <row r="32" spans="1:11" ht="16.8" x14ac:dyDescent="0.4">
      <c r="A32" s="1" t="s">
        <v>22</v>
      </c>
      <c r="B32" s="6">
        <v>45383</v>
      </c>
      <c r="C32" s="7">
        <v>45413</v>
      </c>
      <c r="D32" s="5">
        <v>6</v>
      </c>
      <c r="E32" s="2">
        <f>VLOOKUP(Tabela2[[#This Row],[Funcionários]],'CADASTRO DE FUNCIONÁRIOS'!A:F,4,0)</f>
        <v>20000</v>
      </c>
      <c r="F32" s="2">
        <v>1000</v>
      </c>
      <c r="G32" s="2">
        <v>2400</v>
      </c>
      <c r="H32" s="2">
        <v>1800</v>
      </c>
      <c r="I32" s="2">
        <v>139</v>
      </c>
      <c r="J32" s="2">
        <f>Tabela2[[#This Row],[Quantidade HE]]*VLOOKUP(Tabela2[[#This Row],[Funcionários]],'CADASTRO DE FUNCIONÁRIOS'!A:F,6,0)</f>
        <v>0</v>
      </c>
      <c r="K32" s="2">
        <f>Tabela2[[#This Row],[Salário bruto]]-(SUM(Tabela2[[#This Row],[Desconto transporte]:[Outros descontos]]))+Tabela2[[#This Row],[Valor da hora extra]]</f>
        <v>14661</v>
      </c>
    </row>
    <row r="33" spans="1:11" ht="16.8" x14ac:dyDescent="0.4">
      <c r="A33" s="1" t="s">
        <v>23</v>
      </c>
      <c r="B33" s="6">
        <v>45383</v>
      </c>
      <c r="C33" s="7">
        <v>45413</v>
      </c>
      <c r="D33" s="5">
        <v>6</v>
      </c>
      <c r="E33" s="2">
        <f>VLOOKUP(Tabela2[[#This Row],[Funcionários]],'CADASTRO DE FUNCIONÁRIOS'!A:F,4,0)</f>
        <v>8000</v>
      </c>
      <c r="F33" s="2">
        <v>560</v>
      </c>
      <c r="G33" s="2">
        <v>960</v>
      </c>
      <c r="H33" s="2">
        <v>640</v>
      </c>
      <c r="I33" s="2">
        <v>160</v>
      </c>
      <c r="J33" s="2">
        <f>Tabela2[[#This Row],[Quantidade HE]]*VLOOKUP(Tabela2[[#This Row],[Funcionários]],'CADASTRO DE FUNCIONÁRIOS'!A:F,6,0)</f>
        <v>327.27272727272725</v>
      </c>
      <c r="K33" s="2">
        <f>Tabela2[[#This Row],[Salário bruto]]-(SUM(Tabela2[[#This Row],[Desconto transporte]:[Outros descontos]]))+Tabela2[[#This Row],[Valor da hora extra]]</f>
        <v>6007.272727272727</v>
      </c>
    </row>
    <row r="34" spans="1:11" ht="16.8" x14ac:dyDescent="0.4">
      <c r="A34" s="1" t="s">
        <v>24</v>
      </c>
      <c r="B34" s="6">
        <v>45383</v>
      </c>
      <c r="C34" s="7">
        <v>45413</v>
      </c>
      <c r="D34" s="5">
        <v>2</v>
      </c>
      <c r="E34" s="2">
        <f>VLOOKUP(Tabela2[[#This Row],[Funcionários]],'CADASTRO DE FUNCIONÁRIOS'!A:F,4,0)</f>
        <v>6500</v>
      </c>
      <c r="F34" s="2">
        <v>390</v>
      </c>
      <c r="G34" s="2">
        <v>715</v>
      </c>
      <c r="H34" s="2">
        <v>650</v>
      </c>
      <c r="I34" s="2">
        <v>156</v>
      </c>
      <c r="J34" s="2">
        <f>Tabela2[[#This Row],[Quantidade HE]]*VLOOKUP(Tabela2[[#This Row],[Funcionários]],'CADASTRO DE FUNCIONÁRIOS'!A:F,6,0)</f>
        <v>88.63636363636364</v>
      </c>
      <c r="K34" s="2">
        <f>Tabela2[[#This Row],[Salário bruto]]-(SUM(Tabela2[[#This Row],[Desconto transporte]:[Outros descontos]]))+Tabela2[[#This Row],[Valor da hora extra]]</f>
        <v>4677.636363636364</v>
      </c>
    </row>
    <row r="35" spans="1:11" ht="16.8" x14ac:dyDescent="0.4">
      <c r="A35" s="1" t="s">
        <v>25</v>
      </c>
      <c r="B35" s="6">
        <v>45383</v>
      </c>
      <c r="C35" s="7">
        <v>45413</v>
      </c>
      <c r="D35" s="5">
        <v>3</v>
      </c>
      <c r="E35" s="2">
        <f>VLOOKUP(Tabela2[[#This Row],[Funcionários]],'CADASTRO DE FUNCIONÁRIOS'!A:F,4,0)</f>
        <v>4000</v>
      </c>
      <c r="F35" s="2">
        <v>240</v>
      </c>
      <c r="G35" s="2">
        <v>480</v>
      </c>
      <c r="H35" s="2">
        <v>280</v>
      </c>
      <c r="I35" s="2">
        <v>152</v>
      </c>
      <c r="J35" s="2">
        <f>Tabela2[[#This Row],[Quantidade HE]]*VLOOKUP(Tabela2[[#This Row],[Funcionários]],'CADASTRO DE FUNCIONÁRIOS'!A:F,6,0)</f>
        <v>81.818181818181813</v>
      </c>
      <c r="K35" s="2">
        <f>Tabela2[[#This Row],[Salário bruto]]-(SUM(Tabela2[[#This Row],[Desconto transporte]:[Outros descontos]]))+Tabela2[[#This Row],[Valor da hora extra]]</f>
        <v>2929.818181818182</v>
      </c>
    </row>
    <row r="36" spans="1:11" ht="16.8" x14ac:dyDescent="0.4">
      <c r="A36" s="1" t="s">
        <v>26</v>
      </c>
      <c r="B36" s="6">
        <v>45383</v>
      </c>
      <c r="C36" s="7">
        <v>45413</v>
      </c>
      <c r="D36" s="5">
        <v>5</v>
      </c>
      <c r="E36" s="2">
        <f>VLOOKUP(Tabela2[[#This Row],[Funcionários]],'CADASTRO DE FUNCIONÁRIOS'!A:F,4,0)</f>
        <v>3000</v>
      </c>
      <c r="F36" s="2">
        <v>180</v>
      </c>
      <c r="G36" s="2">
        <v>300</v>
      </c>
      <c r="H36" s="2">
        <v>210</v>
      </c>
      <c r="I36" s="2">
        <v>147</v>
      </c>
      <c r="J36" s="2">
        <f>Tabela2[[#This Row],[Quantidade HE]]*VLOOKUP(Tabela2[[#This Row],[Funcionários]],'CADASTRO DE FUNCIONÁRIOS'!A:F,6,0)</f>
        <v>102.27272727272727</v>
      </c>
      <c r="K36" s="2">
        <f>Tabela2[[#This Row],[Salário bruto]]-(SUM(Tabela2[[#This Row],[Desconto transporte]:[Outros descontos]]))+Tabela2[[#This Row],[Valor da hora extra]]</f>
        <v>2265.2727272727275</v>
      </c>
    </row>
    <row r="37" spans="1:11" ht="16.8" x14ac:dyDescent="0.4">
      <c r="A37" s="1" t="s">
        <v>27</v>
      </c>
      <c r="B37" s="6">
        <v>45383</v>
      </c>
      <c r="C37" s="7">
        <v>45413</v>
      </c>
      <c r="D37" s="5">
        <v>2</v>
      </c>
      <c r="E37" s="2">
        <f>VLOOKUP(Tabela2[[#This Row],[Funcionários]],'CADASTRO DE FUNCIONÁRIOS'!A:F,4,0)</f>
        <v>2000</v>
      </c>
      <c r="F37" s="2">
        <v>120</v>
      </c>
      <c r="G37" s="2">
        <v>220</v>
      </c>
      <c r="H37" s="2">
        <v>200</v>
      </c>
      <c r="I37" s="2">
        <v>149</v>
      </c>
      <c r="J37" s="2">
        <f>Tabela2[[#This Row],[Quantidade HE]]*VLOOKUP(Tabela2[[#This Row],[Funcionários]],'CADASTRO DE FUNCIONÁRIOS'!A:F,6,0)</f>
        <v>0</v>
      </c>
      <c r="K37" s="2">
        <f>Tabela2[[#This Row],[Salário bruto]]-(SUM(Tabela2[[#This Row],[Desconto transporte]:[Outros descontos]]))+Tabela2[[#This Row],[Valor da hora extra]]</f>
        <v>1311</v>
      </c>
    </row>
    <row r="38" spans="1:11" ht="16.8" x14ac:dyDescent="0.4">
      <c r="A38" s="1" t="s">
        <v>28</v>
      </c>
      <c r="B38" s="6">
        <v>45383</v>
      </c>
      <c r="C38" s="7">
        <v>45413</v>
      </c>
      <c r="D38" s="5">
        <v>4</v>
      </c>
      <c r="E38" s="2">
        <f>VLOOKUP(Tabela2[[#This Row],[Funcionários]],'CADASTRO DE FUNCIONÁRIOS'!A:F,4,0)</f>
        <v>1000</v>
      </c>
      <c r="F38" s="2">
        <v>70</v>
      </c>
      <c r="G38" s="2">
        <v>120</v>
      </c>
      <c r="H38" s="2">
        <v>90</v>
      </c>
      <c r="I38" s="2">
        <v>118</v>
      </c>
      <c r="J38" s="2">
        <f>Tabela2[[#This Row],[Quantidade HE]]*VLOOKUP(Tabela2[[#This Row],[Funcionários]],'CADASTRO DE FUNCIONÁRIOS'!A:F,6,0)</f>
        <v>0</v>
      </c>
      <c r="K38" s="2">
        <f>Tabela2[[#This Row],[Salário bruto]]-(SUM(Tabela2[[#This Row],[Desconto transporte]:[Outros descontos]]))+Tabela2[[#This Row],[Valor da hora extra]]</f>
        <v>602</v>
      </c>
    </row>
    <row r="39" spans="1:11" ht="16.8" x14ac:dyDescent="0.4">
      <c r="A39" s="1" t="s">
        <v>29</v>
      </c>
      <c r="B39" s="6">
        <v>45383</v>
      </c>
      <c r="C39" s="7">
        <v>45413</v>
      </c>
      <c r="D39" s="5">
        <v>6</v>
      </c>
      <c r="E39" s="2">
        <f>VLOOKUP(Tabela2[[#This Row],[Funcionários]],'CADASTRO DE FUNCIONÁRIOS'!A:F,4,0)</f>
        <v>2400</v>
      </c>
      <c r="F39" s="2">
        <v>100</v>
      </c>
      <c r="G39" s="2">
        <v>220</v>
      </c>
      <c r="H39" s="2">
        <v>200</v>
      </c>
      <c r="I39" s="2">
        <v>116</v>
      </c>
      <c r="J39" s="2">
        <f>Tabela2[[#This Row],[Quantidade HE]]*VLOOKUP(Tabela2[[#This Row],[Funcionários]],'CADASTRO DE FUNCIONÁRIOS'!A:F,6,0)</f>
        <v>98.181818181818187</v>
      </c>
      <c r="K39" s="2">
        <f>Tabela2[[#This Row],[Salário bruto]]-(SUM(Tabela2[[#This Row],[Desconto transporte]:[Outros descontos]]))+Tabela2[[#This Row],[Valor da hora extra]]</f>
        <v>1862.1818181818182</v>
      </c>
    </row>
    <row r="40" spans="1:11" ht="16.8" x14ac:dyDescent="0.4">
      <c r="A40" s="1" t="s">
        <v>31</v>
      </c>
      <c r="B40" s="6">
        <v>45383</v>
      </c>
      <c r="C40" s="7">
        <v>45413</v>
      </c>
      <c r="D40" s="5">
        <v>6</v>
      </c>
      <c r="E40" s="2">
        <f>VLOOKUP(Tabela2[[#This Row],[Funcionários]],'CADASTRO DE FUNCIONÁRIOS'!A:F,4,0)</f>
        <v>1800</v>
      </c>
      <c r="F40" s="2">
        <v>150</v>
      </c>
      <c r="G40" s="2">
        <v>160</v>
      </c>
      <c r="H40" s="2">
        <v>215</v>
      </c>
      <c r="I40" s="2">
        <v>132</v>
      </c>
      <c r="J40" s="2">
        <f>Tabela2[[#This Row],[Quantidade HE]]*VLOOKUP(Tabela2[[#This Row],[Funcionários]],'CADASTRO DE FUNCIONÁRIOS'!A:F,6,0)</f>
        <v>73.63636363636364</v>
      </c>
      <c r="K40" s="2">
        <f>Tabela2[[#This Row],[Salário bruto]]-(SUM(Tabela2[[#This Row],[Desconto transporte]:[Outros descontos]]))+Tabela2[[#This Row],[Valor da hora extra]]</f>
        <v>1216.6363636363637</v>
      </c>
    </row>
    <row r="41" spans="1:11" ht="16.8" x14ac:dyDescent="0.4">
      <c r="A41" s="1" t="s">
        <v>22</v>
      </c>
      <c r="B41" s="6">
        <v>45413</v>
      </c>
      <c r="C41" s="7">
        <v>45444</v>
      </c>
      <c r="D41" s="5">
        <v>2</v>
      </c>
      <c r="E41" s="2">
        <f>VLOOKUP(Tabela2[[#This Row],[Funcionários]],'CADASTRO DE FUNCIONÁRIOS'!A:F,4,0)</f>
        <v>20000</v>
      </c>
      <c r="F41" s="2">
        <v>1000</v>
      </c>
      <c r="G41" s="2">
        <v>2400</v>
      </c>
      <c r="H41" s="2">
        <v>1800</v>
      </c>
      <c r="I41" s="2">
        <v>154</v>
      </c>
      <c r="J41" s="2">
        <f>Tabela2[[#This Row],[Quantidade HE]]*VLOOKUP(Tabela2[[#This Row],[Funcionários]],'CADASTRO DE FUNCIONÁRIOS'!A:F,6,0)</f>
        <v>0</v>
      </c>
      <c r="K41" s="2">
        <f>Tabela2[[#This Row],[Salário bruto]]-(SUM(Tabela2[[#This Row],[Desconto transporte]:[Outros descontos]]))+Tabela2[[#This Row],[Valor da hora extra]]</f>
        <v>14646</v>
      </c>
    </row>
    <row r="42" spans="1:11" ht="16.8" x14ac:dyDescent="0.4">
      <c r="A42" s="1" t="s">
        <v>23</v>
      </c>
      <c r="B42" s="6">
        <v>45413</v>
      </c>
      <c r="C42" s="7">
        <v>45444</v>
      </c>
      <c r="D42" s="5">
        <v>1</v>
      </c>
      <c r="E42" s="2">
        <f>VLOOKUP(Tabela2[[#This Row],[Funcionários]],'CADASTRO DE FUNCIONÁRIOS'!A:F,4,0)</f>
        <v>8000</v>
      </c>
      <c r="F42" s="2">
        <v>560</v>
      </c>
      <c r="G42" s="2">
        <v>960</v>
      </c>
      <c r="H42" s="2">
        <v>640</v>
      </c>
      <c r="I42" s="2">
        <v>101</v>
      </c>
      <c r="J42" s="2">
        <f>Tabela2[[#This Row],[Quantidade HE]]*VLOOKUP(Tabela2[[#This Row],[Funcionários]],'CADASTRO DE FUNCIONÁRIOS'!A:F,6,0)</f>
        <v>54.545454545454547</v>
      </c>
      <c r="K42" s="2">
        <f>Tabela2[[#This Row],[Salário bruto]]-(SUM(Tabela2[[#This Row],[Desconto transporte]:[Outros descontos]]))+Tabela2[[#This Row],[Valor da hora extra]]</f>
        <v>5793.545454545455</v>
      </c>
    </row>
    <row r="43" spans="1:11" ht="16.8" x14ac:dyDescent="0.4">
      <c r="A43" s="1" t="s">
        <v>24</v>
      </c>
      <c r="B43" s="6">
        <v>45413</v>
      </c>
      <c r="C43" s="7">
        <v>45444</v>
      </c>
      <c r="D43" s="5">
        <v>4</v>
      </c>
      <c r="E43" s="2">
        <f>VLOOKUP(Tabela2[[#This Row],[Funcionários]],'CADASTRO DE FUNCIONÁRIOS'!A:F,4,0)</f>
        <v>6500</v>
      </c>
      <c r="F43" s="2">
        <v>390</v>
      </c>
      <c r="G43" s="2">
        <v>715</v>
      </c>
      <c r="H43" s="2">
        <v>650</v>
      </c>
      <c r="I43" s="2">
        <v>144</v>
      </c>
      <c r="J43" s="2">
        <f>Tabela2[[#This Row],[Quantidade HE]]*VLOOKUP(Tabela2[[#This Row],[Funcionários]],'CADASTRO DE FUNCIONÁRIOS'!A:F,6,0)</f>
        <v>177.27272727272728</v>
      </c>
      <c r="K43" s="2">
        <f>Tabela2[[#This Row],[Salário bruto]]-(SUM(Tabela2[[#This Row],[Desconto transporte]:[Outros descontos]]))+Tabela2[[#This Row],[Valor da hora extra]]</f>
        <v>4778.272727272727</v>
      </c>
    </row>
    <row r="44" spans="1:11" ht="16.8" x14ac:dyDescent="0.4">
      <c r="A44" s="1" t="s">
        <v>25</v>
      </c>
      <c r="B44" s="6">
        <v>45413</v>
      </c>
      <c r="C44" s="7">
        <v>45444</v>
      </c>
      <c r="D44" s="5">
        <v>7</v>
      </c>
      <c r="E44" s="2">
        <f>VLOOKUP(Tabela2[[#This Row],[Funcionários]],'CADASTRO DE FUNCIONÁRIOS'!A:F,4,0)</f>
        <v>4000</v>
      </c>
      <c r="F44" s="2">
        <v>240</v>
      </c>
      <c r="G44" s="2">
        <v>480</v>
      </c>
      <c r="H44" s="2">
        <v>280</v>
      </c>
      <c r="I44" s="2">
        <v>156</v>
      </c>
      <c r="J44" s="2">
        <f>Tabela2[[#This Row],[Quantidade HE]]*VLOOKUP(Tabela2[[#This Row],[Funcionários]],'CADASTRO DE FUNCIONÁRIOS'!A:F,6,0)</f>
        <v>190.90909090909091</v>
      </c>
      <c r="K44" s="2">
        <f>Tabela2[[#This Row],[Salário bruto]]-(SUM(Tabela2[[#This Row],[Desconto transporte]:[Outros descontos]]))+Tabela2[[#This Row],[Valor da hora extra]]</f>
        <v>3034.909090909091</v>
      </c>
    </row>
    <row r="45" spans="1:11" ht="16.8" x14ac:dyDescent="0.4">
      <c r="A45" s="1" t="s">
        <v>26</v>
      </c>
      <c r="B45" s="6">
        <v>45413</v>
      </c>
      <c r="C45" s="7">
        <v>45444</v>
      </c>
      <c r="D45" s="5">
        <v>5</v>
      </c>
      <c r="E45" s="2">
        <f>VLOOKUP(Tabela2[[#This Row],[Funcionários]],'CADASTRO DE FUNCIONÁRIOS'!A:F,4,0)</f>
        <v>3000</v>
      </c>
      <c r="F45" s="2">
        <v>180</v>
      </c>
      <c r="G45" s="2">
        <v>300</v>
      </c>
      <c r="H45" s="2">
        <v>210</v>
      </c>
      <c r="I45" s="2">
        <v>114</v>
      </c>
      <c r="J45" s="2">
        <f>Tabela2[[#This Row],[Quantidade HE]]*VLOOKUP(Tabela2[[#This Row],[Funcionários]],'CADASTRO DE FUNCIONÁRIOS'!A:F,6,0)</f>
        <v>102.27272727272727</v>
      </c>
      <c r="K45" s="2">
        <f>Tabela2[[#This Row],[Salário bruto]]-(SUM(Tabela2[[#This Row],[Desconto transporte]:[Outros descontos]]))+Tabela2[[#This Row],[Valor da hora extra]]</f>
        <v>2298.2727272727275</v>
      </c>
    </row>
    <row r="46" spans="1:11" ht="16.8" x14ac:dyDescent="0.4">
      <c r="A46" s="1" t="s">
        <v>27</v>
      </c>
      <c r="B46" s="6">
        <v>45413</v>
      </c>
      <c r="C46" s="7">
        <v>45444</v>
      </c>
      <c r="D46" s="5">
        <v>5</v>
      </c>
      <c r="E46" s="2">
        <f>VLOOKUP(Tabela2[[#This Row],[Funcionários]],'CADASTRO DE FUNCIONÁRIOS'!A:F,4,0)</f>
        <v>2000</v>
      </c>
      <c r="F46" s="2">
        <v>120</v>
      </c>
      <c r="G46" s="2">
        <v>220</v>
      </c>
      <c r="H46" s="2">
        <v>200</v>
      </c>
      <c r="I46" s="2">
        <v>140</v>
      </c>
      <c r="J46" s="2">
        <f>Tabela2[[#This Row],[Quantidade HE]]*VLOOKUP(Tabela2[[#This Row],[Funcionários]],'CADASTRO DE FUNCIONÁRIOS'!A:F,6,0)</f>
        <v>0</v>
      </c>
      <c r="K46" s="2">
        <f>Tabela2[[#This Row],[Salário bruto]]-(SUM(Tabela2[[#This Row],[Desconto transporte]:[Outros descontos]]))+Tabela2[[#This Row],[Valor da hora extra]]</f>
        <v>1320</v>
      </c>
    </row>
    <row r="47" spans="1:11" ht="16.8" x14ac:dyDescent="0.4">
      <c r="A47" s="1" t="s">
        <v>28</v>
      </c>
      <c r="B47" s="6">
        <v>45413</v>
      </c>
      <c r="C47" s="7">
        <v>45444</v>
      </c>
      <c r="D47" s="5">
        <v>4</v>
      </c>
      <c r="E47" s="2">
        <f>VLOOKUP(Tabela2[[#This Row],[Funcionários]],'CADASTRO DE FUNCIONÁRIOS'!A:F,4,0)</f>
        <v>1000</v>
      </c>
      <c r="F47" s="2">
        <v>70</v>
      </c>
      <c r="G47" s="2">
        <v>120</v>
      </c>
      <c r="H47" s="2">
        <v>90</v>
      </c>
      <c r="I47" s="2">
        <v>104</v>
      </c>
      <c r="J47" s="2">
        <f>Tabela2[[#This Row],[Quantidade HE]]*VLOOKUP(Tabela2[[#This Row],[Funcionários]],'CADASTRO DE FUNCIONÁRIOS'!A:F,6,0)</f>
        <v>0</v>
      </c>
      <c r="K47" s="2">
        <f>Tabela2[[#This Row],[Salário bruto]]-(SUM(Tabela2[[#This Row],[Desconto transporte]:[Outros descontos]]))+Tabela2[[#This Row],[Valor da hora extra]]</f>
        <v>616</v>
      </c>
    </row>
    <row r="48" spans="1:11" ht="16.8" x14ac:dyDescent="0.4">
      <c r="A48" s="1" t="s">
        <v>29</v>
      </c>
      <c r="B48" s="6">
        <v>45413</v>
      </c>
      <c r="C48" s="7">
        <v>45444</v>
      </c>
      <c r="D48" s="5">
        <v>7</v>
      </c>
      <c r="E48" s="2">
        <f>VLOOKUP(Tabela2[[#This Row],[Funcionários]],'CADASTRO DE FUNCIONÁRIOS'!A:F,4,0)</f>
        <v>2400</v>
      </c>
      <c r="F48" s="2">
        <v>100</v>
      </c>
      <c r="G48" s="2">
        <v>220</v>
      </c>
      <c r="H48" s="2">
        <v>200</v>
      </c>
      <c r="I48" s="2">
        <v>113</v>
      </c>
      <c r="J48" s="2">
        <f>Tabela2[[#This Row],[Quantidade HE]]*VLOOKUP(Tabela2[[#This Row],[Funcionários]],'CADASTRO DE FUNCIONÁRIOS'!A:F,6,0)</f>
        <v>114.54545454545455</v>
      </c>
      <c r="K48" s="2">
        <f>Tabela2[[#This Row],[Salário bruto]]-(SUM(Tabela2[[#This Row],[Desconto transporte]:[Outros descontos]]))+Tabela2[[#This Row],[Valor da hora extra]]</f>
        <v>1881.5454545454545</v>
      </c>
    </row>
    <row r="49" spans="1:11" ht="16.8" x14ac:dyDescent="0.4">
      <c r="A49" s="1" t="s">
        <v>31</v>
      </c>
      <c r="B49" s="6">
        <v>45413</v>
      </c>
      <c r="C49" s="7">
        <v>45444</v>
      </c>
      <c r="D49" s="5">
        <v>5</v>
      </c>
      <c r="E49" s="2">
        <f>VLOOKUP(Tabela2[[#This Row],[Funcionários]],'CADASTRO DE FUNCIONÁRIOS'!A:F,4,0)</f>
        <v>1800</v>
      </c>
      <c r="F49" s="2">
        <v>150</v>
      </c>
      <c r="G49" s="2">
        <v>160</v>
      </c>
      <c r="H49" s="2">
        <v>215</v>
      </c>
      <c r="I49" s="2">
        <v>135</v>
      </c>
      <c r="J49" s="2">
        <f>Tabela2[[#This Row],[Quantidade HE]]*VLOOKUP(Tabela2[[#This Row],[Funcionários]],'CADASTRO DE FUNCIONÁRIOS'!A:F,6,0)</f>
        <v>61.363636363636367</v>
      </c>
      <c r="K49" s="2">
        <f>Tabela2[[#This Row],[Salário bruto]]-(SUM(Tabela2[[#This Row],[Desconto transporte]:[Outros descontos]]))+Tabela2[[#This Row],[Valor da hora extra]]</f>
        <v>1201.3636363636363</v>
      </c>
    </row>
    <row r="50" spans="1:11" ht="16.8" x14ac:dyDescent="0.4">
      <c r="A50" s="1" t="s">
        <v>22</v>
      </c>
      <c r="B50" s="6">
        <v>45444</v>
      </c>
      <c r="C50" s="7">
        <v>45474</v>
      </c>
      <c r="D50" s="5">
        <v>2</v>
      </c>
      <c r="E50" s="2">
        <f>VLOOKUP(Tabela2[[#This Row],[Funcionários]],'CADASTRO DE FUNCIONÁRIOS'!A:F,4,0)</f>
        <v>20000</v>
      </c>
      <c r="F50" s="2">
        <v>1000</v>
      </c>
      <c r="G50" s="2">
        <v>2400</v>
      </c>
      <c r="H50" s="2">
        <v>1800</v>
      </c>
      <c r="I50" s="2">
        <v>122</v>
      </c>
      <c r="J50" s="2">
        <f>Tabela2[[#This Row],[Quantidade HE]]*VLOOKUP(Tabela2[[#This Row],[Funcionários]],'CADASTRO DE FUNCIONÁRIOS'!A:F,6,0)</f>
        <v>0</v>
      </c>
      <c r="K50" s="2">
        <f>Tabela2[[#This Row],[Salário bruto]]-(SUM(Tabela2[[#This Row],[Desconto transporte]:[Outros descontos]]))+Tabela2[[#This Row],[Valor da hora extra]]</f>
        <v>14678</v>
      </c>
    </row>
    <row r="51" spans="1:11" ht="16.8" x14ac:dyDescent="0.4">
      <c r="A51" s="1" t="s">
        <v>23</v>
      </c>
      <c r="B51" s="6">
        <v>45444</v>
      </c>
      <c r="C51" s="7">
        <v>45474</v>
      </c>
      <c r="D51" s="5">
        <v>6</v>
      </c>
      <c r="E51" s="2">
        <f>VLOOKUP(Tabela2[[#This Row],[Funcionários]],'CADASTRO DE FUNCIONÁRIOS'!A:F,4,0)</f>
        <v>8000</v>
      </c>
      <c r="F51" s="2">
        <v>560</v>
      </c>
      <c r="G51" s="2">
        <v>960</v>
      </c>
      <c r="H51" s="2">
        <v>640</v>
      </c>
      <c r="I51" s="2">
        <v>158</v>
      </c>
      <c r="J51" s="2">
        <f>Tabela2[[#This Row],[Quantidade HE]]*VLOOKUP(Tabela2[[#This Row],[Funcionários]],'CADASTRO DE FUNCIONÁRIOS'!A:F,6,0)</f>
        <v>327.27272727272725</v>
      </c>
      <c r="K51" s="2">
        <f>Tabela2[[#This Row],[Salário bruto]]-(SUM(Tabela2[[#This Row],[Desconto transporte]:[Outros descontos]]))+Tabela2[[#This Row],[Valor da hora extra]]</f>
        <v>6009.272727272727</v>
      </c>
    </row>
    <row r="52" spans="1:11" ht="16.8" x14ac:dyDescent="0.4">
      <c r="A52" s="1" t="s">
        <v>24</v>
      </c>
      <c r="B52" s="6">
        <v>45444</v>
      </c>
      <c r="C52" s="7">
        <v>45474</v>
      </c>
      <c r="D52" s="5">
        <v>5</v>
      </c>
      <c r="E52" s="2">
        <f>VLOOKUP(Tabela2[[#This Row],[Funcionários]],'CADASTRO DE FUNCIONÁRIOS'!A:F,4,0)</f>
        <v>6500</v>
      </c>
      <c r="F52" s="2">
        <v>390</v>
      </c>
      <c r="G52" s="2">
        <v>715</v>
      </c>
      <c r="H52" s="2">
        <v>650</v>
      </c>
      <c r="I52" s="2">
        <v>140</v>
      </c>
      <c r="J52" s="2">
        <f>Tabela2[[#This Row],[Quantidade HE]]*VLOOKUP(Tabela2[[#This Row],[Funcionários]],'CADASTRO DE FUNCIONÁRIOS'!A:F,6,0)</f>
        <v>221.59090909090909</v>
      </c>
      <c r="K52" s="2">
        <f>Tabela2[[#This Row],[Salário bruto]]-(SUM(Tabela2[[#This Row],[Desconto transporte]:[Outros descontos]]))+Tabela2[[#This Row],[Valor da hora extra]]</f>
        <v>4826.590909090909</v>
      </c>
    </row>
    <row r="53" spans="1:11" ht="16.8" x14ac:dyDescent="0.4">
      <c r="A53" s="1" t="s">
        <v>25</v>
      </c>
      <c r="B53" s="6">
        <v>45444</v>
      </c>
      <c r="C53" s="7">
        <v>45474</v>
      </c>
      <c r="D53" s="5">
        <v>6</v>
      </c>
      <c r="E53" s="2">
        <f>VLOOKUP(Tabela2[[#This Row],[Funcionários]],'CADASTRO DE FUNCIONÁRIOS'!A:F,4,0)</f>
        <v>4000</v>
      </c>
      <c r="F53" s="2">
        <v>240</v>
      </c>
      <c r="G53" s="2">
        <v>480</v>
      </c>
      <c r="H53" s="2">
        <v>280</v>
      </c>
      <c r="I53" s="2">
        <v>100</v>
      </c>
      <c r="J53" s="2">
        <f>Tabela2[[#This Row],[Quantidade HE]]*VLOOKUP(Tabela2[[#This Row],[Funcionários]],'CADASTRO DE FUNCIONÁRIOS'!A:F,6,0)</f>
        <v>163.63636363636363</v>
      </c>
      <c r="K53" s="2">
        <f>Tabela2[[#This Row],[Salário bruto]]-(SUM(Tabela2[[#This Row],[Desconto transporte]:[Outros descontos]]))+Tabela2[[#This Row],[Valor da hora extra]]</f>
        <v>3063.6363636363635</v>
      </c>
    </row>
    <row r="54" spans="1:11" ht="16.8" x14ac:dyDescent="0.4">
      <c r="A54" s="1" t="s">
        <v>26</v>
      </c>
      <c r="B54" s="6">
        <v>45444</v>
      </c>
      <c r="C54" s="7">
        <v>45474</v>
      </c>
      <c r="D54" s="5">
        <v>5</v>
      </c>
      <c r="E54" s="2">
        <f>VLOOKUP(Tabela2[[#This Row],[Funcionários]],'CADASTRO DE FUNCIONÁRIOS'!A:F,4,0)</f>
        <v>3000</v>
      </c>
      <c r="F54" s="2">
        <v>180</v>
      </c>
      <c r="G54" s="2">
        <v>300</v>
      </c>
      <c r="H54" s="2">
        <v>210</v>
      </c>
      <c r="I54" s="2">
        <v>113</v>
      </c>
      <c r="J54" s="2">
        <f>Tabela2[[#This Row],[Quantidade HE]]*VLOOKUP(Tabela2[[#This Row],[Funcionários]],'CADASTRO DE FUNCIONÁRIOS'!A:F,6,0)</f>
        <v>102.27272727272727</v>
      </c>
      <c r="K54" s="2">
        <f>Tabela2[[#This Row],[Salário bruto]]-(SUM(Tabela2[[#This Row],[Desconto transporte]:[Outros descontos]]))+Tabela2[[#This Row],[Valor da hora extra]]</f>
        <v>2299.2727272727275</v>
      </c>
    </row>
    <row r="55" spans="1:11" ht="16.8" x14ac:dyDescent="0.4">
      <c r="A55" s="1" t="s">
        <v>27</v>
      </c>
      <c r="B55" s="6">
        <v>45444</v>
      </c>
      <c r="C55" s="7">
        <v>45474</v>
      </c>
      <c r="D55" s="5">
        <v>2</v>
      </c>
      <c r="E55" s="2">
        <f>VLOOKUP(Tabela2[[#This Row],[Funcionários]],'CADASTRO DE FUNCIONÁRIOS'!A:F,4,0)</f>
        <v>2000</v>
      </c>
      <c r="F55" s="2">
        <v>120</v>
      </c>
      <c r="G55" s="2">
        <v>220</v>
      </c>
      <c r="H55" s="2">
        <v>200</v>
      </c>
      <c r="I55" s="2">
        <v>100</v>
      </c>
      <c r="J55" s="2">
        <f>Tabela2[[#This Row],[Quantidade HE]]*VLOOKUP(Tabela2[[#This Row],[Funcionários]],'CADASTRO DE FUNCIONÁRIOS'!A:F,6,0)</f>
        <v>0</v>
      </c>
      <c r="K55" s="2">
        <f>Tabela2[[#This Row],[Salário bruto]]-(SUM(Tabela2[[#This Row],[Desconto transporte]:[Outros descontos]]))+Tabela2[[#This Row],[Valor da hora extra]]</f>
        <v>1360</v>
      </c>
    </row>
    <row r="56" spans="1:11" ht="16.8" x14ac:dyDescent="0.4">
      <c r="A56" s="1" t="s">
        <v>28</v>
      </c>
      <c r="B56" s="6">
        <v>45444</v>
      </c>
      <c r="C56" s="7">
        <v>45474</v>
      </c>
      <c r="D56" s="5">
        <v>0</v>
      </c>
      <c r="E56" s="2">
        <f>VLOOKUP(Tabela2[[#This Row],[Funcionários]],'CADASTRO DE FUNCIONÁRIOS'!A:F,4,0)</f>
        <v>1000</v>
      </c>
      <c r="F56" s="2">
        <v>70</v>
      </c>
      <c r="G56" s="2">
        <v>120</v>
      </c>
      <c r="H56" s="2">
        <v>90</v>
      </c>
      <c r="I56" s="2">
        <v>102</v>
      </c>
      <c r="J56" s="2">
        <f>Tabela2[[#This Row],[Quantidade HE]]*VLOOKUP(Tabela2[[#This Row],[Funcionários]],'CADASTRO DE FUNCIONÁRIOS'!A:F,6,0)</f>
        <v>0</v>
      </c>
      <c r="K56" s="2">
        <f>Tabela2[[#This Row],[Salário bruto]]-(SUM(Tabela2[[#This Row],[Desconto transporte]:[Outros descontos]]))+Tabela2[[#This Row],[Valor da hora extra]]</f>
        <v>618</v>
      </c>
    </row>
    <row r="57" spans="1:11" ht="16.8" x14ac:dyDescent="0.4">
      <c r="A57" s="1" t="s">
        <v>29</v>
      </c>
      <c r="B57" s="6">
        <v>45444</v>
      </c>
      <c r="C57" s="7">
        <v>45474</v>
      </c>
      <c r="D57" s="5">
        <v>6</v>
      </c>
      <c r="E57" s="2">
        <f>VLOOKUP(Tabela2[[#This Row],[Funcionários]],'CADASTRO DE FUNCIONÁRIOS'!A:F,4,0)</f>
        <v>2400</v>
      </c>
      <c r="F57" s="2">
        <v>100</v>
      </c>
      <c r="G57" s="2">
        <v>220</v>
      </c>
      <c r="H57" s="2">
        <v>200</v>
      </c>
      <c r="I57" s="2">
        <v>115</v>
      </c>
      <c r="J57" s="2">
        <f>Tabela2[[#This Row],[Quantidade HE]]*VLOOKUP(Tabela2[[#This Row],[Funcionários]],'CADASTRO DE FUNCIONÁRIOS'!A:F,6,0)</f>
        <v>98.181818181818187</v>
      </c>
      <c r="K57" s="2">
        <f>Tabela2[[#This Row],[Salário bruto]]-(SUM(Tabela2[[#This Row],[Desconto transporte]:[Outros descontos]]))+Tabela2[[#This Row],[Valor da hora extra]]</f>
        <v>1863.1818181818182</v>
      </c>
    </row>
    <row r="58" spans="1:11" ht="16.8" x14ac:dyDescent="0.4">
      <c r="A58" s="1" t="s">
        <v>31</v>
      </c>
      <c r="B58" s="6">
        <v>45444</v>
      </c>
      <c r="C58" s="7">
        <v>45474</v>
      </c>
      <c r="D58" s="5">
        <v>6</v>
      </c>
      <c r="E58" s="2">
        <f>VLOOKUP(Tabela2[[#This Row],[Funcionários]],'CADASTRO DE FUNCIONÁRIOS'!A:F,4,0)</f>
        <v>1800</v>
      </c>
      <c r="F58" s="2">
        <v>150</v>
      </c>
      <c r="G58" s="2">
        <v>160</v>
      </c>
      <c r="H58" s="2">
        <v>215</v>
      </c>
      <c r="I58" s="2">
        <v>149</v>
      </c>
      <c r="J58" s="2">
        <f>Tabela2[[#This Row],[Quantidade HE]]*VLOOKUP(Tabela2[[#This Row],[Funcionários]],'CADASTRO DE FUNCIONÁRIOS'!A:F,6,0)</f>
        <v>73.63636363636364</v>
      </c>
      <c r="K58" s="2">
        <f>Tabela2[[#This Row],[Salário bruto]]-(SUM(Tabela2[[#This Row],[Desconto transporte]:[Outros descontos]]))+Tabela2[[#This Row],[Valor da hora extra]]</f>
        <v>1199.6363636363637</v>
      </c>
    </row>
    <row r="59" spans="1:11" ht="16.8" x14ac:dyDescent="0.4">
      <c r="A59" s="1" t="s">
        <v>22</v>
      </c>
      <c r="B59" s="6">
        <v>45474</v>
      </c>
      <c r="C59" s="7">
        <v>45505</v>
      </c>
      <c r="D59" s="5">
        <v>5</v>
      </c>
      <c r="E59" s="2">
        <f>VLOOKUP(Tabela2[[#This Row],[Funcionários]],'CADASTRO DE FUNCIONÁRIOS'!A:F,4,0)</f>
        <v>20000</v>
      </c>
      <c r="F59" s="2">
        <v>1000</v>
      </c>
      <c r="G59" s="2">
        <v>2400</v>
      </c>
      <c r="H59" s="2">
        <v>1800</v>
      </c>
      <c r="I59" s="2">
        <v>134</v>
      </c>
      <c r="J59" s="2">
        <f>Tabela2[[#This Row],[Quantidade HE]]*VLOOKUP(Tabela2[[#This Row],[Funcionários]],'CADASTRO DE FUNCIONÁRIOS'!A:F,6,0)</f>
        <v>0</v>
      </c>
      <c r="K59" s="2">
        <f>Tabela2[[#This Row],[Salário bruto]]-(SUM(Tabela2[[#This Row],[Desconto transporte]:[Outros descontos]]))+Tabela2[[#This Row],[Valor da hora extra]]</f>
        <v>14666</v>
      </c>
    </row>
    <row r="60" spans="1:11" ht="16.8" x14ac:dyDescent="0.4">
      <c r="A60" s="1" t="s">
        <v>23</v>
      </c>
      <c r="B60" s="6">
        <v>45474</v>
      </c>
      <c r="C60" s="7">
        <v>45505</v>
      </c>
      <c r="D60" s="5">
        <v>6</v>
      </c>
      <c r="E60" s="2">
        <f>VLOOKUP(Tabela2[[#This Row],[Funcionários]],'CADASTRO DE FUNCIONÁRIOS'!A:F,4,0)</f>
        <v>8000</v>
      </c>
      <c r="F60" s="2">
        <v>560</v>
      </c>
      <c r="G60" s="2">
        <v>960</v>
      </c>
      <c r="H60" s="2">
        <v>640</v>
      </c>
      <c r="I60" s="2">
        <v>112</v>
      </c>
      <c r="J60" s="2">
        <f>Tabela2[[#This Row],[Quantidade HE]]*VLOOKUP(Tabela2[[#This Row],[Funcionários]],'CADASTRO DE FUNCIONÁRIOS'!A:F,6,0)</f>
        <v>327.27272727272725</v>
      </c>
      <c r="K60" s="2">
        <f>Tabela2[[#This Row],[Salário bruto]]-(SUM(Tabela2[[#This Row],[Desconto transporte]:[Outros descontos]]))+Tabela2[[#This Row],[Valor da hora extra]]</f>
        <v>6055.272727272727</v>
      </c>
    </row>
    <row r="61" spans="1:11" ht="16.8" x14ac:dyDescent="0.4">
      <c r="A61" s="1" t="s">
        <v>24</v>
      </c>
      <c r="B61" s="6">
        <v>45474</v>
      </c>
      <c r="C61" s="7">
        <v>45505</v>
      </c>
      <c r="D61" s="5">
        <v>7</v>
      </c>
      <c r="E61" s="2">
        <f>VLOOKUP(Tabela2[[#This Row],[Funcionários]],'CADASTRO DE FUNCIONÁRIOS'!A:F,4,0)</f>
        <v>6500</v>
      </c>
      <c r="F61" s="2">
        <v>390</v>
      </c>
      <c r="G61" s="2">
        <v>715</v>
      </c>
      <c r="H61" s="2">
        <v>650</v>
      </c>
      <c r="I61" s="2">
        <v>132</v>
      </c>
      <c r="J61" s="2">
        <f>Tabela2[[#This Row],[Quantidade HE]]*VLOOKUP(Tabela2[[#This Row],[Funcionários]],'CADASTRO DE FUNCIONÁRIOS'!A:F,6,0)</f>
        <v>310.22727272727275</v>
      </c>
      <c r="K61" s="2">
        <f>Tabela2[[#This Row],[Salário bruto]]-(SUM(Tabela2[[#This Row],[Desconto transporte]:[Outros descontos]]))+Tabela2[[#This Row],[Valor da hora extra]]</f>
        <v>4923.227272727273</v>
      </c>
    </row>
    <row r="62" spans="1:11" ht="16.8" x14ac:dyDescent="0.4">
      <c r="A62" s="1" t="s">
        <v>25</v>
      </c>
      <c r="B62" s="6">
        <v>45474</v>
      </c>
      <c r="C62" s="7">
        <v>45505</v>
      </c>
      <c r="D62" s="5">
        <v>2</v>
      </c>
      <c r="E62" s="2">
        <f>VLOOKUP(Tabela2[[#This Row],[Funcionários]],'CADASTRO DE FUNCIONÁRIOS'!A:F,4,0)</f>
        <v>4000</v>
      </c>
      <c r="F62" s="2">
        <v>240</v>
      </c>
      <c r="G62" s="2">
        <v>480</v>
      </c>
      <c r="H62" s="2">
        <v>280</v>
      </c>
      <c r="I62" s="2">
        <v>106</v>
      </c>
      <c r="J62" s="2">
        <f>Tabela2[[#This Row],[Quantidade HE]]*VLOOKUP(Tabela2[[#This Row],[Funcionários]],'CADASTRO DE FUNCIONÁRIOS'!A:F,6,0)</f>
        <v>54.545454545454547</v>
      </c>
      <c r="K62" s="2">
        <f>Tabela2[[#This Row],[Salário bruto]]-(SUM(Tabela2[[#This Row],[Desconto transporte]:[Outros descontos]]))+Tabela2[[#This Row],[Valor da hora extra]]</f>
        <v>2948.5454545454545</v>
      </c>
    </row>
    <row r="63" spans="1:11" ht="16.8" x14ac:dyDescent="0.4">
      <c r="A63" s="1" t="s">
        <v>26</v>
      </c>
      <c r="B63" s="6">
        <v>45474</v>
      </c>
      <c r="C63" s="7">
        <v>45505</v>
      </c>
      <c r="D63" s="5">
        <v>6</v>
      </c>
      <c r="E63" s="2">
        <f>VLOOKUP(Tabela2[[#This Row],[Funcionários]],'CADASTRO DE FUNCIONÁRIOS'!A:F,4,0)</f>
        <v>3000</v>
      </c>
      <c r="F63" s="2">
        <v>180</v>
      </c>
      <c r="G63" s="2">
        <v>300</v>
      </c>
      <c r="H63" s="2">
        <v>210</v>
      </c>
      <c r="I63" s="2">
        <v>156</v>
      </c>
      <c r="J63" s="2">
        <f>Tabela2[[#This Row],[Quantidade HE]]*VLOOKUP(Tabela2[[#This Row],[Funcionários]],'CADASTRO DE FUNCIONÁRIOS'!A:F,6,0)</f>
        <v>122.72727272727272</v>
      </c>
      <c r="K63" s="2">
        <f>Tabela2[[#This Row],[Salário bruto]]-(SUM(Tabela2[[#This Row],[Desconto transporte]:[Outros descontos]]))+Tabela2[[#This Row],[Valor da hora extra]]</f>
        <v>2276.7272727272725</v>
      </c>
    </row>
    <row r="64" spans="1:11" ht="16.8" x14ac:dyDescent="0.4">
      <c r="A64" s="1" t="s">
        <v>27</v>
      </c>
      <c r="B64" s="6">
        <v>45474</v>
      </c>
      <c r="C64" s="7">
        <v>45505</v>
      </c>
      <c r="D64" s="5">
        <v>3</v>
      </c>
      <c r="E64" s="2">
        <f>VLOOKUP(Tabela2[[#This Row],[Funcionários]],'CADASTRO DE FUNCIONÁRIOS'!A:F,4,0)</f>
        <v>2000</v>
      </c>
      <c r="F64" s="2">
        <v>120</v>
      </c>
      <c r="G64" s="2">
        <v>220</v>
      </c>
      <c r="H64" s="2">
        <v>200</v>
      </c>
      <c r="I64" s="2">
        <v>139</v>
      </c>
      <c r="J64" s="2">
        <f>Tabela2[[#This Row],[Quantidade HE]]*VLOOKUP(Tabela2[[#This Row],[Funcionários]],'CADASTRO DE FUNCIONÁRIOS'!A:F,6,0)</f>
        <v>0</v>
      </c>
      <c r="K64" s="2">
        <f>Tabela2[[#This Row],[Salário bruto]]-(SUM(Tabela2[[#This Row],[Desconto transporte]:[Outros descontos]]))+Tabela2[[#This Row],[Valor da hora extra]]</f>
        <v>1321</v>
      </c>
    </row>
    <row r="65" spans="1:11" ht="16.8" x14ac:dyDescent="0.4">
      <c r="A65" s="1" t="s">
        <v>28</v>
      </c>
      <c r="B65" s="6">
        <v>45474</v>
      </c>
      <c r="C65" s="7">
        <v>45505</v>
      </c>
      <c r="D65" s="5">
        <v>2</v>
      </c>
      <c r="E65" s="2">
        <f>VLOOKUP(Tabela2[[#This Row],[Funcionários]],'CADASTRO DE FUNCIONÁRIOS'!A:F,4,0)</f>
        <v>1000</v>
      </c>
      <c r="F65" s="2">
        <v>70</v>
      </c>
      <c r="G65" s="2">
        <v>120</v>
      </c>
      <c r="H65" s="2">
        <v>90</v>
      </c>
      <c r="I65" s="2">
        <v>136</v>
      </c>
      <c r="J65" s="2">
        <f>Tabela2[[#This Row],[Quantidade HE]]*VLOOKUP(Tabela2[[#This Row],[Funcionários]],'CADASTRO DE FUNCIONÁRIOS'!A:F,6,0)</f>
        <v>0</v>
      </c>
      <c r="K65" s="2">
        <f>Tabela2[[#This Row],[Salário bruto]]-(SUM(Tabela2[[#This Row],[Desconto transporte]:[Outros descontos]]))+Tabela2[[#This Row],[Valor da hora extra]]</f>
        <v>584</v>
      </c>
    </row>
    <row r="66" spans="1:11" ht="16.8" x14ac:dyDescent="0.4">
      <c r="A66" s="1" t="s">
        <v>29</v>
      </c>
      <c r="B66" s="6">
        <v>45474</v>
      </c>
      <c r="C66" s="7">
        <v>45505</v>
      </c>
      <c r="D66" s="5">
        <v>5</v>
      </c>
      <c r="E66" s="2">
        <f>VLOOKUP(Tabela2[[#This Row],[Funcionários]],'CADASTRO DE FUNCIONÁRIOS'!A:F,4,0)</f>
        <v>2400</v>
      </c>
      <c r="F66" s="2">
        <v>100</v>
      </c>
      <c r="G66" s="2">
        <v>220</v>
      </c>
      <c r="H66" s="2">
        <v>200</v>
      </c>
      <c r="I66" s="2">
        <v>109</v>
      </c>
      <c r="J66" s="2">
        <f>Tabela2[[#This Row],[Quantidade HE]]*VLOOKUP(Tabela2[[#This Row],[Funcionários]],'CADASTRO DE FUNCIONÁRIOS'!A:F,6,0)</f>
        <v>81.818181818181813</v>
      </c>
      <c r="K66" s="2">
        <f>Tabela2[[#This Row],[Salário bruto]]-(SUM(Tabela2[[#This Row],[Desconto transporte]:[Outros descontos]]))+Tabela2[[#This Row],[Valor da hora extra]]</f>
        <v>1852.8181818181818</v>
      </c>
    </row>
    <row r="67" spans="1:11" ht="16.8" x14ac:dyDescent="0.4">
      <c r="A67" s="1" t="s">
        <v>31</v>
      </c>
      <c r="B67" s="6">
        <v>45474</v>
      </c>
      <c r="C67" s="7">
        <v>45505</v>
      </c>
      <c r="D67" s="5">
        <v>0</v>
      </c>
      <c r="E67" s="2">
        <f>VLOOKUP(Tabela2[[#This Row],[Funcionários]],'CADASTRO DE FUNCIONÁRIOS'!A:F,4,0)</f>
        <v>1800</v>
      </c>
      <c r="F67" s="2">
        <v>150</v>
      </c>
      <c r="G67" s="2">
        <v>160</v>
      </c>
      <c r="H67" s="2">
        <v>215</v>
      </c>
      <c r="I67" s="2">
        <v>157</v>
      </c>
      <c r="J67" s="2">
        <f>Tabela2[[#This Row],[Quantidade HE]]*VLOOKUP(Tabela2[[#This Row],[Funcionários]],'CADASTRO DE FUNCIONÁRIOS'!A:F,6,0)</f>
        <v>0</v>
      </c>
      <c r="K67" s="2">
        <f>Tabela2[[#This Row],[Salário bruto]]-(SUM(Tabela2[[#This Row],[Desconto transporte]:[Outros descontos]]))+Tabela2[[#This Row],[Valor da hora extra]]</f>
        <v>1118</v>
      </c>
    </row>
    <row r="68" spans="1:11" ht="16.8" x14ac:dyDescent="0.4">
      <c r="A68" s="1" t="s">
        <v>22</v>
      </c>
      <c r="B68" s="6">
        <v>45505</v>
      </c>
      <c r="C68" s="7">
        <v>45536</v>
      </c>
      <c r="D68" s="5">
        <v>2</v>
      </c>
      <c r="E68" s="2">
        <f>VLOOKUP(Tabela2[[#This Row],[Funcionários]],'CADASTRO DE FUNCIONÁRIOS'!A:F,4,0)</f>
        <v>20000</v>
      </c>
      <c r="F68" s="2">
        <v>1000</v>
      </c>
      <c r="G68" s="2">
        <v>2400</v>
      </c>
      <c r="H68" s="2">
        <v>1800</v>
      </c>
      <c r="I68" s="2">
        <v>127</v>
      </c>
      <c r="J68" s="2">
        <f>Tabela2[[#This Row],[Quantidade HE]]*VLOOKUP(Tabela2[[#This Row],[Funcionários]],'CADASTRO DE FUNCIONÁRIOS'!A:F,6,0)</f>
        <v>0</v>
      </c>
      <c r="K68" s="2">
        <f>Tabela2[[#This Row],[Salário bruto]]-(SUM(Tabela2[[#This Row],[Desconto transporte]:[Outros descontos]]))+Tabela2[[#This Row],[Valor da hora extra]]</f>
        <v>14673</v>
      </c>
    </row>
    <row r="69" spans="1:11" ht="16.8" x14ac:dyDescent="0.4">
      <c r="A69" s="1" t="s">
        <v>23</v>
      </c>
      <c r="B69" s="6">
        <v>45505</v>
      </c>
      <c r="C69" s="7">
        <v>45536</v>
      </c>
      <c r="D69" s="5">
        <v>7</v>
      </c>
      <c r="E69" s="2">
        <f>VLOOKUP(Tabela2[[#This Row],[Funcionários]],'CADASTRO DE FUNCIONÁRIOS'!A:F,4,0)</f>
        <v>8000</v>
      </c>
      <c r="F69" s="2">
        <v>560</v>
      </c>
      <c r="G69" s="2">
        <v>960</v>
      </c>
      <c r="H69" s="2">
        <v>640</v>
      </c>
      <c r="I69" s="2">
        <v>124</v>
      </c>
      <c r="J69" s="2">
        <f>Tabela2[[#This Row],[Quantidade HE]]*VLOOKUP(Tabela2[[#This Row],[Funcionários]],'CADASTRO DE FUNCIONÁRIOS'!A:F,6,0)</f>
        <v>381.81818181818181</v>
      </c>
      <c r="K69" s="2">
        <f>Tabela2[[#This Row],[Salário bruto]]-(SUM(Tabela2[[#This Row],[Desconto transporte]:[Outros descontos]]))+Tabela2[[#This Row],[Valor da hora extra]]</f>
        <v>6097.818181818182</v>
      </c>
    </row>
    <row r="70" spans="1:11" ht="16.8" x14ac:dyDescent="0.4">
      <c r="A70" s="1" t="s">
        <v>24</v>
      </c>
      <c r="B70" s="6">
        <v>45505</v>
      </c>
      <c r="C70" s="7">
        <v>45536</v>
      </c>
      <c r="D70" s="5">
        <v>2</v>
      </c>
      <c r="E70" s="2">
        <f>VLOOKUP(Tabela2[[#This Row],[Funcionários]],'CADASTRO DE FUNCIONÁRIOS'!A:F,4,0)</f>
        <v>6500</v>
      </c>
      <c r="F70" s="2">
        <v>390</v>
      </c>
      <c r="G70" s="2">
        <v>715</v>
      </c>
      <c r="H70" s="2">
        <v>650</v>
      </c>
      <c r="I70" s="2">
        <v>153</v>
      </c>
      <c r="J70" s="2">
        <f>Tabela2[[#This Row],[Quantidade HE]]*VLOOKUP(Tabela2[[#This Row],[Funcionários]],'CADASTRO DE FUNCIONÁRIOS'!A:F,6,0)</f>
        <v>88.63636363636364</v>
      </c>
      <c r="K70" s="2">
        <f>Tabela2[[#This Row],[Salário bruto]]-(SUM(Tabela2[[#This Row],[Desconto transporte]:[Outros descontos]]))+Tabela2[[#This Row],[Valor da hora extra]]</f>
        <v>4680.636363636364</v>
      </c>
    </row>
    <row r="71" spans="1:11" ht="16.8" x14ac:dyDescent="0.4">
      <c r="A71" s="1" t="s">
        <v>25</v>
      </c>
      <c r="B71" s="6">
        <v>45505</v>
      </c>
      <c r="C71" s="7">
        <v>45536</v>
      </c>
      <c r="D71" s="5">
        <v>4</v>
      </c>
      <c r="E71" s="2">
        <f>VLOOKUP(Tabela2[[#This Row],[Funcionários]],'CADASTRO DE FUNCIONÁRIOS'!A:F,4,0)</f>
        <v>4000</v>
      </c>
      <c r="F71" s="2">
        <v>240</v>
      </c>
      <c r="G71" s="2">
        <v>480</v>
      </c>
      <c r="H71" s="2">
        <v>280</v>
      </c>
      <c r="I71" s="2">
        <v>144</v>
      </c>
      <c r="J71" s="2">
        <f>Tabela2[[#This Row],[Quantidade HE]]*VLOOKUP(Tabela2[[#This Row],[Funcionários]],'CADASTRO DE FUNCIONÁRIOS'!A:F,6,0)</f>
        <v>109.09090909090909</v>
      </c>
      <c r="K71" s="2">
        <f>Tabela2[[#This Row],[Salário bruto]]-(SUM(Tabela2[[#This Row],[Desconto transporte]:[Outros descontos]]))+Tabela2[[#This Row],[Valor da hora extra]]</f>
        <v>2965.090909090909</v>
      </c>
    </row>
    <row r="72" spans="1:11" ht="16.8" x14ac:dyDescent="0.4">
      <c r="A72" s="1" t="s">
        <v>26</v>
      </c>
      <c r="B72" s="6">
        <v>45505</v>
      </c>
      <c r="C72" s="7">
        <v>45536</v>
      </c>
      <c r="D72" s="5">
        <v>6</v>
      </c>
      <c r="E72" s="2">
        <f>VLOOKUP(Tabela2[[#This Row],[Funcionários]],'CADASTRO DE FUNCIONÁRIOS'!A:F,4,0)</f>
        <v>3000</v>
      </c>
      <c r="F72" s="2">
        <v>180</v>
      </c>
      <c r="G72" s="2">
        <v>300</v>
      </c>
      <c r="H72" s="2">
        <v>210</v>
      </c>
      <c r="I72" s="2">
        <v>127</v>
      </c>
      <c r="J72" s="2">
        <f>Tabela2[[#This Row],[Quantidade HE]]*VLOOKUP(Tabela2[[#This Row],[Funcionários]],'CADASTRO DE FUNCIONÁRIOS'!A:F,6,0)</f>
        <v>122.72727272727272</v>
      </c>
      <c r="K72" s="2">
        <f>Tabela2[[#This Row],[Salário bruto]]-(SUM(Tabela2[[#This Row],[Desconto transporte]:[Outros descontos]]))+Tabela2[[#This Row],[Valor da hora extra]]</f>
        <v>2305.7272727272725</v>
      </c>
    </row>
    <row r="73" spans="1:11" ht="16.8" x14ac:dyDescent="0.4">
      <c r="A73" s="1" t="s">
        <v>27</v>
      </c>
      <c r="B73" s="6">
        <v>45505</v>
      </c>
      <c r="C73" s="7">
        <v>45536</v>
      </c>
      <c r="D73" s="5">
        <v>1</v>
      </c>
      <c r="E73" s="2">
        <f>VLOOKUP(Tabela2[[#This Row],[Funcionários]],'CADASTRO DE FUNCIONÁRIOS'!A:F,4,0)</f>
        <v>2000</v>
      </c>
      <c r="F73" s="2">
        <v>120</v>
      </c>
      <c r="G73" s="2">
        <v>220</v>
      </c>
      <c r="H73" s="2">
        <v>200</v>
      </c>
      <c r="I73" s="2">
        <v>126</v>
      </c>
      <c r="J73" s="2">
        <f>Tabela2[[#This Row],[Quantidade HE]]*VLOOKUP(Tabela2[[#This Row],[Funcionários]],'CADASTRO DE FUNCIONÁRIOS'!A:F,6,0)</f>
        <v>0</v>
      </c>
      <c r="K73" s="2">
        <f>Tabela2[[#This Row],[Salário bruto]]-(SUM(Tabela2[[#This Row],[Desconto transporte]:[Outros descontos]]))+Tabela2[[#This Row],[Valor da hora extra]]</f>
        <v>1334</v>
      </c>
    </row>
    <row r="74" spans="1:11" ht="16.8" x14ac:dyDescent="0.4">
      <c r="A74" s="1" t="s">
        <v>28</v>
      </c>
      <c r="B74" s="6">
        <v>45505</v>
      </c>
      <c r="C74" s="7">
        <v>45536</v>
      </c>
      <c r="D74" s="5">
        <v>4</v>
      </c>
      <c r="E74" s="2">
        <f>VLOOKUP(Tabela2[[#This Row],[Funcionários]],'CADASTRO DE FUNCIONÁRIOS'!A:F,4,0)</f>
        <v>1000</v>
      </c>
      <c r="F74" s="2">
        <v>70</v>
      </c>
      <c r="G74" s="2">
        <v>120</v>
      </c>
      <c r="H74" s="2">
        <v>90</v>
      </c>
      <c r="I74" s="2">
        <v>133</v>
      </c>
      <c r="J74" s="2">
        <f>Tabela2[[#This Row],[Quantidade HE]]*VLOOKUP(Tabela2[[#This Row],[Funcionários]],'CADASTRO DE FUNCIONÁRIOS'!A:F,6,0)</f>
        <v>0</v>
      </c>
      <c r="K74" s="2">
        <f>Tabela2[[#This Row],[Salário bruto]]-(SUM(Tabela2[[#This Row],[Desconto transporte]:[Outros descontos]]))+Tabela2[[#This Row],[Valor da hora extra]]</f>
        <v>587</v>
      </c>
    </row>
    <row r="75" spans="1:11" ht="16.8" x14ac:dyDescent="0.4">
      <c r="A75" s="1" t="s">
        <v>29</v>
      </c>
      <c r="B75" s="6">
        <v>45505</v>
      </c>
      <c r="C75" s="7">
        <v>45536</v>
      </c>
      <c r="D75" s="5">
        <v>4</v>
      </c>
      <c r="E75" s="2">
        <f>VLOOKUP(Tabela2[[#This Row],[Funcionários]],'CADASTRO DE FUNCIONÁRIOS'!A:F,4,0)</f>
        <v>2400</v>
      </c>
      <c r="F75" s="2">
        <v>100</v>
      </c>
      <c r="G75" s="2">
        <v>220</v>
      </c>
      <c r="H75" s="2">
        <v>200</v>
      </c>
      <c r="I75" s="2">
        <v>140</v>
      </c>
      <c r="J75" s="2">
        <f>Tabela2[[#This Row],[Quantidade HE]]*VLOOKUP(Tabela2[[#This Row],[Funcionários]],'CADASTRO DE FUNCIONÁRIOS'!A:F,6,0)</f>
        <v>65.454545454545453</v>
      </c>
      <c r="K75" s="2">
        <f>Tabela2[[#This Row],[Salário bruto]]-(SUM(Tabela2[[#This Row],[Desconto transporte]:[Outros descontos]]))+Tabela2[[#This Row],[Valor da hora extra]]</f>
        <v>1805.4545454545455</v>
      </c>
    </row>
    <row r="76" spans="1:11" ht="16.8" x14ac:dyDescent="0.4">
      <c r="A76" s="1" t="s">
        <v>31</v>
      </c>
      <c r="B76" s="6">
        <v>45505</v>
      </c>
      <c r="C76" s="7">
        <v>45536</v>
      </c>
      <c r="D76" s="5">
        <v>3</v>
      </c>
      <c r="E76" s="2">
        <f>VLOOKUP(Tabela2[[#This Row],[Funcionários]],'CADASTRO DE FUNCIONÁRIOS'!A:F,4,0)</f>
        <v>1800</v>
      </c>
      <c r="F76" s="2">
        <v>150</v>
      </c>
      <c r="G76" s="2">
        <v>160</v>
      </c>
      <c r="H76" s="2">
        <v>215</v>
      </c>
      <c r="I76" s="2">
        <v>121</v>
      </c>
      <c r="J76" s="2">
        <f>Tabela2[[#This Row],[Quantidade HE]]*VLOOKUP(Tabela2[[#This Row],[Funcionários]],'CADASTRO DE FUNCIONÁRIOS'!A:F,6,0)</f>
        <v>36.81818181818182</v>
      </c>
      <c r="K76" s="2">
        <f>Tabela2[[#This Row],[Salário bruto]]-(SUM(Tabela2[[#This Row],[Desconto transporte]:[Outros descontos]]))+Tabela2[[#This Row],[Valor da hora extra]]</f>
        <v>1190.8181818181818</v>
      </c>
    </row>
    <row r="77" spans="1:11" ht="16.8" x14ac:dyDescent="0.4">
      <c r="A77" s="1" t="s">
        <v>22</v>
      </c>
      <c r="B77" s="6">
        <v>45536</v>
      </c>
      <c r="C77" s="7">
        <v>45566</v>
      </c>
      <c r="D77" s="5">
        <v>2</v>
      </c>
      <c r="E77" s="2">
        <f>VLOOKUP(Tabela2[[#This Row],[Funcionários]],'CADASTRO DE FUNCIONÁRIOS'!A:F,4,0)</f>
        <v>20000</v>
      </c>
      <c r="F77" s="2">
        <v>1000</v>
      </c>
      <c r="G77" s="2">
        <v>2400</v>
      </c>
      <c r="H77" s="2">
        <v>1800</v>
      </c>
      <c r="I77" s="2">
        <v>151</v>
      </c>
      <c r="J77" s="2">
        <f>Tabela2[[#This Row],[Quantidade HE]]*VLOOKUP(Tabela2[[#This Row],[Funcionários]],'CADASTRO DE FUNCIONÁRIOS'!A:F,6,0)</f>
        <v>0</v>
      </c>
      <c r="K77" s="2">
        <f>Tabela2[[#This Row],[Salário bruto]]-(SUM(Tabela2[[#This Row],[Desconto transporte]:[Outros descontos]]))+Tabela2[[#This Row],[Valor da hora extra]]</f>
        <v>14649</v>
      </c>
    </row>
    <row r="78" spans="1:11" ht="16.8" x14ac:dyDescent="0.4">
      <c r="A78" s="1" t="s">
        <v>23</v>
      </c>
      <c r="B78" s="6">
        <v>45536</v>
      </c>
      <c r="C78" s="7">
        <v>45566</v>
      </c>
      <c r="D78" s="5">
        <v>0</v>
      </c>
      <c r="E78" s="2">
        <f>VLOOKUP(Tabela2[[#This Row],[Funcionários]],'CADASTRO DE FUNCIONÁRIOS'!A:F,4,0)</f>
        <v>8000</v>
      </c>
      <c r="F78" s="2">
        <v>560</v>
      </c>
      <c r="G78" s="2">
        <v>960</v>
      </c>
      <c r="H78" s="2">
        <v>640</v>
      </c>
      <c r="I78" s="2">
        <v>123</v>
      </c>
      <c r="J78" s="2">
        <f>Tabela2[[#This Row],[Quantidade HE]]*VLOOKUP(Tabela2[[#This Row],[Funcionários]],'CADASTRO DE FUNCIONÁRIOS'!A:F,6,0)</f>
        <v>0</v>
      </c>
      <c r="K78" s="2">
        <f>Tabela2[[#This Row],[Salário bruto]]-(SUM(Tabela2[[#This Row],[Desconto transporte]:[Outros descontos]]))+Tabela2[[#This Row],[Valor da hora extra]]</f>
        <v>5717</v>
      </c>
    </row>
    <row r="79" spans="1:11" ht="16.8" x14ac:dyDescent="0.4">
      <c r="A79" s="1" t="s">
        <v>24</v>
      </c>
      <c r="B79" s="6">
        <v>45536</v>
      </c>
      <c r="C79" s="7">
        <v>45566</v>
      </c>
      <c r="D79" s="5">
        <v>5</v>
      </c>
      <c r="E79" s="2">
        <f>VLOOKUP(Tabela2[[#This Row],[Funcionários]],'CADASTRO DE FUNCIONÁRIOS'!A:F,4,0)</f>
        <v>6500</v>
      </c>
      <c r="F79" s="2">
        <v>390</v>
      </c>
      <c r="G79" s="2">
        <v>715</v>
      </c>
      <c r="H79" s="2">
        <v>650</v>
      </c>
      <c r="I79" s="2">
        <v>126</v>
      </c>
      <c r="J79" s="2">
        <f>Tabela2[[#This Row],[Quantidade HE]]*VLOOKUP(Tabela2[[#This Row],[Funcionários]],'CADASTRO DE FUNCIONÁRIOS'!A:F,6,0)</f>
        <v>221.59090909090909</v>
      </c>
      <c r="K79" s="2">
        <f>Tabela2[[#This Row],[Salário bruto]]-(SUM(Tabela2[[#This Row],[Desconto transporte]:[Outros descontos]]))+Tabela2[[#This Row],[Valor da hora extra]]</f>
        <v>4840.590909090909</v>
      </c>
    </row>
    <row r="80" spans="1:11" ht="16.8" x14ac:dyDescent="0.4">
      <c r="A80" s="1" t="s">
        <v>25</v>
      </c>
      <c r="B80" s="6">
        <v>45536</v>
      </c>
      <c r="C80" s="7">
        <v>45566</v>
      </c>
      <c r="D80" s="5">
        <v>3</v>
      </c>
      <c r="E80" s="2">
        <f>VLOOKUP(Tabela2[[#This Row],[Funcionários]],'CADASTRO DE FUNCIONÁRIOS'!A:F,4,0)</f>
        <v>4000</v>
      </c>
      <c r="F80" s="2">
        <v>240</v>
      </c>
      <c r="G80" s="2">
        <v>480</v>
      </c>
      <c r="H80" s="2">
        <v>280</v>
      </c>
      <c r="I80" s="2">
        <v>102</v>
      </c>
      <c r="J80" s="2">
        <f>Tabela2[[#This Row],[Quantidade HE]]*VLOOKUP(Tabela2[[#This Row],[Funcionários]],'CADASTRO DE FUNCIONÁRIOS'!A:F,6,0)</f>
        <v>81.818181818181813</v>
      </c>
      <c r="K80" s="2">
        <f>Tabela2[[#This Row],[Salário bruto]]-(SUM(Tabela2[[#This Row],[Desconto transporte]:[Outros descontos]]))+Tabela2[[#This Row],[Valor da hora extra]]</f>
        <v>2979.818181818182</v>
      </c>
    </row>
    <row r="81" spans="1:11" ht="16.8" x14ac:dyDescent="0.4">
      <c r="A81" s="1" t="s">
        <v>26</v>
      </c>
      <c r="B81" s="6">
        <v>45536</v>
      </c>
      <c r="C81" s="7">
        <v>45566</v>
      </c>
      <c r="D81" s="5">
        <v>5</v>
      </c>
      <c r="E81" s="2">
        <f>VLOOKUP(Tabela2[[#This Row],[Funcionários]],'CADASTRO DE FUNCIONÁRIOS'!A:F,4,0)</f>
        <v>3000</v>
      </c>
      <c r="F81" s="2">
        <v>180</v>
      </c>
      <c r="G81" s="2">
        <v>300</v>
      </c>
      <c r="H81" s="2">
        <v>210</v>
      </c>
      <c r="I81" s="2">
        <v>101</v>
      </c>
      <c r="J81" s="2">
        <f>Tabela2[[#This Row],[Quantidade HE]]*VLOOKUP(Tabela2[[#This Row],[Funcionários]],'CADASTRO DE FUNCIONÁRIOS'!A:F,6,0)</f>
        <v>102.27272727272727</v>
      </c>
      <c r="K81" s="2">
        <f>Tabela2[[#This Row],[Salário bruto]]-(SUM(Tabela2[[#This Row],[Desconto transporte]:[Outros descontos]]))+Tabela2[[#This Row],[Valor da hora extra]]</f>
        <v>2311.2727272727275</v>
      </c>
    </row>
    <row r="82" spans="1:11" ht="16.8" x14ac:dyDescent="0.4">
      <c r="A82" s="1" t="s">
        <v>27</v>
      </c>
      <c r="B82" s="6">
        <v>45536</v>
      </c>
      <c r="C82" s="7">
        <v>45566</v>
      </c>
      <c r="D82" s="5">
        <v>7</v>
      </c>
      <c r="E82" s="2">
        <f>VLOOKUP(Tabela2[[#This Row],[Funcionários]],'CADASTRO DE FUNCIONÁRIOS'!A:F,4,0)</f>
        <v>2000</v>
      </c>
      <c r="F82" s="2">
        <v>120</v>
      </c>
      <c r="G82" s="2">
        <v>220</v>
      </c>
      <c r="H82" s="2">
        <v>200</v>
      </c>
      <c r="I82" s="2">
        <v>108</v>
      </c>
      <c r="J82" s="2">
        <f>Tabela2[[#This Row],[Quantidade HE]]*VLOOKUP(Tabela2[[#This Row],[Funcionários]],'CADASTRO DE FUNCIONÁRIOS'!A:F,6,0)</f>
        <v>0</v>
      </c>
      <c r="K82" s="2">
        <f>Tabela2[[#This Row],[Salário bruto]]-(SUM(Tabela2[[#This Row],[Desconto transporte]:[Outros descontos]]))+Tabela2[[#This Row],[Valor da hora extra]]</f>
        <v>1352</v>
      </c>
    </row>
    <row r="83" spans="1:11" ht="16.8" x14ac:dyDescent="0.4">
      <c r="A83" s="1" t="s">
        <v>28</v>
      </c>
      <c r="B83" s="6">
        <v>45536</v>
      </c>
      <c r="C83" s="7">
        <v>45566</v>
      </c>
      <c r="D83" s="5">
        <v>4</v>
      </c>
      <c r="E83" s="2">
        <f>VLOOKUP(Tabela2[[#This Row],[Funcionários]],'CADASTRO DE FUNCIONÁRIOS'!A:F,4,0)</f>
        <v>1000</v>
      </c>
      <c r="F83" s="2">
        <v>70</v>
      </c>
      <c r="G83" s="2">
        <v>120</v>
      </c>
      <c r="H83" s="2">
        <v>90</v>
      </c>
      <c r="I83" s="2">
        <v>140</v>
      </c>
      <c r="J83" s="2">
        <f>Tabela2[[#This Row],[Quantidade HE]]*VLOOKUP(Tabela2[[#This Row],[Funcionários]],'CADASTRO DE FUNCIONÁRIOS'!A:F,6,0)</f>
        <v>0</v>
      </c>
      <c r="K83" s="2">
        <f>Tabela2[[#This Row],[Salário bruto]]-(SUM(Tabela2[[#This Row],[Desconto transporte]:[Outros descontos]]))+Tabela2[[#This Row],[Valor da hora extra]]</f>
        <v>580</v>
      </c>
    </row>
    <row r="84" spans="1:11" ht="16.8" x14ac:dyDescent="0.4">
      <c r="A84" s="1" t="s">
        <v>29</v>
      </c>
      <c r="B84" s="6">
        <v>45536</v>
      </c>
      <c r="C84" s="7">
        <v>45566</v>
      </c>
      <c r="D84" s="5">
        <v>4</v>
      </c>
      <c r="E84" s="2">
        <f>VLOOKUP(Tabela2[[#This Row],[Funcionários]],'CADASTRO DE FUNCIONÁRIOS'!A:F,4,0)</f>
        <v>2400</v>
      </c>
      <c r="F84" s="2">
        <v>100</v>
      </c>
      <c r="G84" s="2">
        <v>220</v>
      </c>
      <c r="H84" s="2">
        <v>200</v>
      </c>
      <c r="I84" s="2">
        <v>153</v>
      </c>
      <c r="J84" s="2">
        <f>Tabela2[[#This Row],[Quantidade HE]]*VLOOKUP(Tabela2[[#This Row],[Funcionários]],'CADASTRO DE FUNCIONÁRIOS'!A:F,6,0)</f>
        <v>65.454545454545453</v>
      </c>
      <c r="K84" s="2">
        <f>Tabela2[[#This Row],[Salário bruto]]-(SUM(Tabela2[[#This Row],[Desconto transporte]:[Outros descontos]]))+Tabela2[[#This Row],[Valor da hora extra]]</f>
        <v>1792.4545454545455</v>
      </c>
    </row>
    <row r="85" spans="1:11" ht="16.8" x14ac:dyDescent="0.4">
      <c r="A85" s="1" t="s">
        <v>31</v>
      </c>
      <c r="B85" s="6">
        <v>45536</v>
      </c>
      <c r="C85" s="7">
        <v>45566</v>
      </c>
      <c r="D85" s="5">
        <v>3</v>
      </c>
      <c r="E85" s="2">
        <f>VLOOKUP(Tabela2[[#This Row],[Funcionários]],'CADASTRO DE FUNCIONÁRIOS'!A:F,4,0)</f>
        <v>1800</v>
      </c>
      <c r="F85" s="2">
        <v>150</v>
      </c>
      <c r="G85" s="2">
        <v>160</v>
      </c>
      <c r="H85" s="2">
        <v>215</v>
      </c>
      <c r="I85" s="2">
        <v>123</v>
      </c>
      <c r="J85" s="2">
        <f>Tabela2[[#This Row],[Quantidade HE]]*VLOOKUP(Tabela2[[#This Row],[Funcionários]],'CADASTRO DE FUNCIONÁRIOS'!A:F,6,0)</f>
        <v>36.81818181818182</v>
      </c>
      <c r="K85" s="2">
        <f>Tabela2[[#This Row],[Salário bruto]]-(SUM(Tabela2[[#This Row],[Desconto transporte]:[Outros descontos]]))+Tabela2[[#This Row],[Valor da hora extra]]</f>
        <v>1188.8181818181818</v>
      </c>
    </row>
    <row r="86" spans="1:11" ht="16.8" x14ac:dyDescent="0.4">
      <c r="A86" s="1" t="s">
        <v>22</v>
      </c>
      <c r="B86" s="6">
        <v>45566</v>
      </c>
      <c r="C86" s="7">
        <v>45597</v>
      </c>
      <c r="D86" s="5">
        <v>0</v>
      </c>
      <c r="E86" s="2">
        <f>VLOOKUP(Tabela2[[#This Row],[Funcionários]],'CADASTRO DE FUNCIONÁRIOS'!A:F,4,0)</f>
        <v>20000</v>
      </c>
      <c r="F86" s="2">
        <v>1000</v>
      </c>
      <c r="G86" s="2">
        <v>2400</v>
      </c>
      <c r="H86" s="2">
        <v>1800</v>
      </c>
      <c r="I86" s="2">
        <v>123</v>
      </c>
      <c r="J86" s="2">
        <f>Tabela2[[#This Row],[Quantidade HE]]*VLOOKUP(Tabela2[[#This Row],[Funcionários]],'CADASTRO DE FUNCIONÁRIOS'!A:F,6,0)</f>
        <v>0</v>
      </c>
      <c r="K86" s="2">
        <f>Tabela2[[#This Row],[Salário bruto]]-(SUM(Tabela2[[#This Row],[Desconto transporte]:[Outros descontos]]))+Tabela2[[#This Row],[Valor da hora extra]]</f>
        <v>14677</v>
      </c>
    </row>
    <row r="87" spans="1:11" ht="16.8" x14ac:dyDescent="0.4">
      <c r="A87" s="1" t="s">
        <v>23</v>
      </c>
      <c r="B87" s="6">
        <v>45566</v>
      </c>
      <c r="C87" s="7">
        <v>45597</v>
      </c>
      <c r="D87" s="5">
        <v>4</v>
      </c>
      <c r="E87" s="2">
        <f>VLOOKUP(Tabela2[[#This Row],[Funcionários]],'CADASTRO DE FUNCIONÁRIOS'!A:F,4,0)</f>
        <v>8000</v>
      </c>
      <c r="F87" s="2">
        <v>560</v>
      </c>
      <c r="G87" s="2">
        <v>960</v>
      </c>
      <c r="H87" s="2">
        <v>640</v>
      </c>
      <c r="I87" s="2">
        <v>147</v>
      </c>
      <c r="J87" s="2">
        <f>Tabela2[[#This Row],[Quantidade HE]]*VLOOKUP(Tabela2[[#This Row],[Funcionários]],'CADASTRO DE FUNCIONÁRIOS'!A:F,6,0)</f>
        <v>218.18181818181819</v>
      </c>
      <c r="K87" s="2">
        <f>Tabela2[[#This Row],[Salário bruto]]-(SUM(Tabela2[[#This Row],[Desconto transporte]:[Outros descontos]]))+Tabela2[[#This Row],[Valor da hora extra]]</f>
        <v>5911.181818181818</v>
      </c>
    </row>
    <row r="88" spans="1:11" ht="16.8" x14ac:dyDescent="0.4">
      <c r="A88" s="1" t="s">
        <v>24</v>
      </c>
      <c r="B88" s="6">
        <v>45566</v>
      </c>
      <c r="C88" s="7">
        <v>45597</v>
      </c>
      <c r="D88" s="5">
        <v>0</v>
      </c>
      <c r="E88" s="2">
        <f>VLOOKUP(Tabela2[[#This Row],[Funcionários]],'CADASTRO DE FUNCIONÁRIOS'!A:F,4,0)</f>
        <v>6500</v>
      </c>
      <c r="F88" s="2">
        <v>390</v>
      </c>
      <c r="G88" s="2">
        <v>715</v>
      </c>
      <c r="H88" s="2">
        <v>650</v>
      </c>
      <c r="I88" s="2">
        <v>126</v>
      </c>
      <c r="J88" s="2">
        <f>Tabela2[[#This Row],[Quantidade HE]]*VLOOKUP(Tabela2[[#This Row],[Funcionários]],'CADASTRO DE FUNCIONÁRIOS'!A:F,6,0)</f>
        <v>0</v>
      </c>
      <c r="K88" s="2">
        <f>Tabela2[[#This Row],[Salário bruto]]-(SUM(Tabela2[[#This Row],[Desconto transporte]:[Outros descontos]]))+Tabela2[[#This Row],[Valor da hora extra]]</f>
        <v>4619</v>
      </c>
    </row>
    <row r="89" spans="1:11" ht="16.8" x14ac:dyDescent="0.4">
      <c r="A89" s="1" t="s">
        <v>25</v>
      </c>
      <c r="B89" s="6">
        <v>45566</v>
      </c>
      <c r="C89" s="7">
        <v>45597</v>
      </c>
      <c r="D89" s="5">
        <v>0</v>
      </c>
      <c r="E89" s="2">
        <f>VLOOKUP(Tabela2[[#This Row],[Funcionários]],'CADASTRO DE FUNCIONÁRIOS'!A:F,4,0)</f>
        <v>4000</v>
      </c>
      <c r="F89" s="2">
        <v>240</v>
      </c>
      <c r="G89" s="2">
        <v>480</v>
      </c>
      <c r="H89" s="2">
        <v>280</v>
      </c>
      <c r="I89" s="2">
        <v>105</v>
      </c>
      <c r="J89" s="2">
        <f>Tabela2[[#This Row],[Quantidade HE]]*VLOOKUP(Tabela2[[#This Row],[Funcionários]],'CADASTRO DE FUNCIONÁRIOS'!A:F,6,0)</f>
        <v>0</v>
      </c>
      <c r="K89" s="2">
        <f>Tabela2[[#This Row],[Salário bruto]]-(SUM(Tabela2[[#This Row],[Desconto transporte]:[Outros descontos]]))+Tabela2[[#This Row],[Valor da hora extra]]</f>
        <v>2895</v>
      </c>
    </row>
    <row r="90" spans="1:11" ht="16.8" x14ac:dyDescent="0.4">
      <c r="A90" s="1" t="s">
        <v>26</v>
      </c>
      <c r="B90" s="6">
        <v>45566</v>
      </c>
      <c r="C90" s="7">
        <v>45597</v>
      </c>
      <c r="D90" s="5">
        <v>0</v>
      </c>
      <c r="E90" s="2">
        <f>VLOOKUP(Tabela2[[#This Row],[Funcionários]],'CADASTRO DE FUNCIONÁRIOS'!A:F,4,0)</f>
        <v>3000</v>
      </c>
      <c r="F90" s="2">
        <v>180</v>
      </c>
      <c r="G90" s="2">
        <v>300</v>
      </c>
      <c r="H90" s="2">
        <v>210</v>
      </c>
      <c r="I90" s="2">
        <v>135</v>
      </c>
      <c r="J90" s="2">
        <f>Tabela2[[#This Row],[Quantidade HE]]*VLOOKUP(Tabela2[[#This Row],[Funcionários]],'CADASTRO DE FUNCIONÁRIOS'!A:F,6,0)</f>
        <v>0</v>
      </c>
      <c r="K90" s="2">
        <f>Tabela2[[#This Row],[Salário bruto]]-(SUM(Tabela2[[#This Row],[Desconto transporte]:[Outros descontos]]))+Tabela2[[#This Row],[Valor da hora extra]]</f>
        <v>2175</v>
      </c>
    </row>
    <row r="91" spans="1:11" ht="16.8" x14ac:dyDescent="0.4">
      <c r="A91" s="1" t="s">
        <v>27</v>
      </c>
      <c r="B91" s="6">
        <v>45566</v>
      </c>
      <c r="C91" s="7">
        <v>45597</v>
      </c>
      <c r="D91" s="5">
        <v>7</v>
      </c>
      <c r="E91" s="2">
        <f>VLOOKUP(Tabela2[[#This Row],[Funcionários]],'CADASTRO DE FUNCIONÁRIOS'!A:F,4,0)</f>
        <v>2000</v>
      </c>
      <c r="F91" s="2">
        <v>120</v>
      </c>
      <c r="G91" s="2">
        <v>220</v>
      </c>
      <c r="H91" s="2">
        <v>200</v>
      </c>
      <c r="I91" s="2">
        <v>136</v>
      </c>
      <c r="J91" s="2">
        <f>Tabela2[[#This Row],[Quantidade HE]]*VLOOKUP(Tabela2[[#This Row],[Funcionários]],'CADASTRO DE FUNCIONÁRIOS'!A:F,6,0)</f>
        <v>0</v>
      </c>
      <c r="K91" s="2">
        <f>Tabela2[[#This Row],[Salário bruto]]-(SUM(Tabela2[[#This Row],[Desconto transporte]:[Outros descontos]]))+Tabela2[[#This Row],[Valor da hora extra]]</f>
        <v>1324</v>
      </c>
    </row>
    <row r="92" spans="1:11" ht="16.8" x14ac:dyDescent="0.4">
      <c r="A92" s="1" t="s">
        <v>28</v>
      </c>
      <c r="B92" s="6">
        <v>45566</v>
      </c>
      <c r="C92" s="7">
        <v>45597</v>
      </c>
      <c r="D92" s="5">
        <v>2</v>
      </c>
      <c r="E92" s="2">
        <f>VLOOKUP(Tabela2[[#This Row],[Funcionários]],'CADASTRO DE FUNCIONÁRIOS'!A:F,4,0)</f>
        <v>1000</v>
      </c>
      <c r="F92" s="2">
        <v>70</v>
      </c>
      <c r="G92" s="2">
        <v>120</v>
      </c>
      <c r="H92" s="2">
        <v>90</v>
      </c>
      <c r="I92" s="2">
        <v>145</v>
      </c>
      <c r="J92" s="2">
        <f>Tabela2[[#This Row],[Quantidade HE]]*VLOOKUP(Tabela2[[#This Row],[Funcionários]],'CADASTRO DE FUNCIONÁRIOS'!A:F,6,0)</f>
        <v>0</v>
      </c>
      <c r="K92" s="2">
        <f>Tabela2[[#This Row],[Salário bruto]]-(SUM(Tabela2[[#This Row],[Desconto transporte]:[Outros descontos]]))+Tabela2[[#This Row],[Valor da hora extra]]</f>
        <v>575</v>
      </c>
    </row>
    <row r="93" spans="1:11" ht="16.8" x14ac:dyDescent="0.4">
      <c r="A93" s="1" t="s">
        <v>29</v>
      </c>
      <c r="B93" s="6">
        <v>45566</v>
      </c>
      <c r="C93" s="7">
        <v>45597</v>
      </c>
      <c r="D93" s="5">
        <v>1</v>
      </c>
      <c r="E93" s="2">
        <f>VLOOKUP(Tabela2[[#This Row],[Funcionários]],'CADASTRO DE FUNCIONÁRIOS'!A:F,4,0)</f>
        <v>2400</v>
      </c>
      <c r="F93" s="2">
        <v>100</v>
      </c>
      <c r="G93" s="2">
        <v>220</v>
      </c>
      <c r="H93" s="2">
        <v>200</v>
      </c>
      <c r="I93" s="2">
        <v>156</v>
      </c>
      <c r="J93" s="2">
        <f>Tabela2[[#This Row],[Quantidade HE]]*VLOOKUP(Tabela2[[#This Row],[Funcionários]],'CADASTRO DE FUNCIONÁRIOS'!A:F,6,0)</f>
        <v>16.363636363636363</v>
      </c>
      <c r="K93" s="2">
        <f>Tabela2[[#This Row],[Salário bruto]]-(SUM(Tabela2[[#This Row],[Desconto transporte]:[Outros descontos]]))+Tabela2[[#This Row],[Valor da hora extra]]</f>
        <v>1740.3636363636363</v>
      </c>
    </row>
    <row r="94" spans="1:11" ht="16.8" x14ac:dyDescent="0.4">
      <c r="A94" s="1" t="s">
        <v>31</v>
      </c>
      <c r="B94" s="6">
        <v>45566</v>
      </c>
      <c r="C94" s="7">
        <v>45597</v>
      </c>
      <c r="D94" s="5">
        <v>5</v>
      </c>
      <c r="E94" s="2">
        <f>VLOOKUP(Tabela2[[#This Row],[Funcionários]],'CADASTRO DE FUNCIONÁRIOS'!A:F,4,0)</f>
        <v>1800</v>
      </c>
      <c r="F94" s="2">
        <v>150</v>
      </c>
      <c r="G94" s="2">
        <v>160</v>
      </c>
      <c r="H94" s="2">
        <v>215</v>
      </c>
      <c r="I94" s="2">
        <v>130</v>
      </c>
      <c r="J94" s="2">
        <f>Tabela2[[#This Row],[Quantidade HE]]*VLOOKUP(Tabela2[[#This Row],[Funcionários]],'CADASTRO DE FUNCIONÁRIOS'!A:F,6,0)</f>
        <v>61.363636363636367</v>
      </c>
      <c r="K94" s="2">
        <f>Tabela2[[#This Row],[Salário bruto]]-(SUM(Tabela2[[#This Row],[Desconto transporte]:[Outros descontos]]))+Tabela2[[#This Row],[Valor da hora extra]]</f>
        <v>1206.3636363636363</v>
      </c>
    </row>
    <row r="95" spans="1:11" ht="16.8" x14ac:dyDescent="0.4">
      <c r="A95" s="1" t="s">
        <v>22</v>
      </c>
      <c r="B95" s="6">
        <v>45597</v>
      </c>
      <c r="C95" s="7">
        <v>45627</v>
      </c>
      <c r="D95" s="5">
        <v>6</v>
      </c>
      <c r="E95" s="2">
        <f>VLOOKUP(Tabela2[[#This Row],[Funcionários]],'CADASTRO DE FUNCIONÁRIOS'!A:F,4,0)</f>
        <v>20000</v>
      </c>
      <c r="F95" s="2">
        <v>1000</v>
      </c>
      <c r="G95" s="2">
        <v>2400</v>
      </c>
      <c r="H95" s="2">
        <v>1800</v>
      </c>
      <c r="I95" s="2">
        <v>140</v>
      </c>
      <c r="J95" s="2">
        <f>Tabela2[[#This Row],[Quantidade HE]]*VLOOKUP(Tabela2[[#This Row],[Funcionários]],'CADASTRO DE FUNCIONÁRIOS'!A:F,6,0)</f>
        <v>0</v>
      </c>
      <c r="K95" s="2">
        <f>Tabela2[[#This Row],[Salário bruto]]-(SUM(Tabela2[[#This Row],[Desconto transporte]:[Outros descontos]]))+Tabela2[[#This Row],[Valor da hora extra]]</f>
        <v>14660</v>
      </c>
    </row>
    <row r="96" spans="1:11" ht="16.8" x14ac:dyDescent="0.4">
      <c r="A96" s="1" t="s">
        <v>23</v>
      </c>
      <c r="B96" s="6">
        <v>45597</v>
      </c>
      <c r="C96" s="7">
        <v>45627</v>
      </c>
      <c r="D96" s="5">
        <v>4</v>
      </c>
      <c r="E96" s="2">
        <f>VLOOKUP(Tabela2[[#This Row],[Funcionários]],'CADASTRO DE FUNCIONÁRIOS'!A:F,4,0)</f>
        <v>8000</v>
      </c>
      <c r="F96" s="2">
        <v>560</v>
      </c>
      <c r="G96" s="2">
        <v>960</v>
      </c>
      <c r="H96" s="2">
        <v>640</v>
      </c>
      <c r="I96" s="2">
        <v>104</v>
      </c>
      <c r="J96" s="2">
        <f>Tabela2[[#This Row],[Quantidade HE]]*VLOOKUP(Tabela2[[#This Row],[Funcionários]],'CADASTRO DE FUNCIONÁRIOS'!A:F,6,0)</f>
        <v>218.18181818181819</v>
      </c>
      <c r="K96" s="2">
        <f>Tabela2[[#This Row],[Salário bruto]]-(SUM(Tabela2[[#This Row],[Desconto transporte]:[Outros descontos]]))+Tabela2[[#This Row],[Valor da hora extra]]</f>
        <v>5954.181818181818</v>
      </c>
    </row>
    <row r="97" spans="1:11" ht="16.8" x14ac:dyDescent="0.4">
      <c r="A97" s="1" t="s">
        <v>24</v>
      </c>
      <c r="B97" s="6">
        <v>45597</v>
      </c>
      <c r="C97" s="7">
        <v>45627</v>
      </c>
      <c r="D97" s="5">
        <v>0</v>
      </c>
      <c r="E97" s="2">
        <f>VLOOKUP(Tabela2[[#This Row],[Funcionários]],'CADASTRO DE FUNCIONÁRIOS'!A:F,4,0)</f>
        <v>6500</v>
      </c>
      <c r="F97" s="2">
        <v>390</v>
      </c>
      <c r="G97" s="2">
        <v>715</v>
      </c>
      <c r="H97" s="2">
        <v>650</v>
      </c>
      <c r="I97" s="2">
        <v>111</v>
      </c>
      <c r="J97" s="2">
        <f>Tabela2[[#This Row],[Quantidade HE]]*VLOOKUP(Tabela2[[#This Row],[Funcionários]],'CADASTRO DE FUNCIONÁRIOS'!A:F,6,0)</f>
        <v>0</v>
      </c>
      <c r="K97" s="2">
        <f>Tabela2[[#This Row],[Salário bruto]]-(SUM(Tabela2[[#This Row],[Desconto transporte]:[Outros descontos]]))+Tabela2[[#This Row],[Valor da hora extra]]</f>
        <v>4634</v>
      </c>
    </row>
    <row r="98" spans="1:11" ht="16.8" x14ac:dyDescent="0.4">
      <c r="A98" s="1" t="s">
        <v>25</v>
      </c>
      <c r="B98" s="6">
        <v>45597</v>
      </c>
      <c r="C98" s="7">
        <v>45627</v>
      </c>
      <c r="D98" s="5">
        <v>4</v>
      </c>
      <c r="E98" s="2">
        <f>VLOOKUP(Tabela2[[#This Row],[Funcionários]],'CADASTRO DE FUNCIONÁRIOS'!A:F,4,0)</f>
        <v>4000</v>
      </c>
      <c r="F98" s="2">
        <v>240</v>
      </c>
      <c r="G98" s="2">
        <v>480</v>
      </c>
      <c r="H98" s="2">
        <v>280</v>
      </c>
      <c r="I98" s="2">
        <v>104</v>
      </c>
      <c r="J98" s="2">
        <f>Tabela2[[#This Row],[Quantidade HE]]*VLOOKUP(Tabela2[[#This Row],[Funcionários]],'CADASTRO DE FUNCIONÁRIOS'!A:F,6,0)</f>
        <v>109.09090909090909</v>
      </c>
      <c r="K98" s="2">
        <f>Tabela2[[#This Row],[Salário bruto]]-(SUM(Tabela2[[#This Row],[Desconto transporte]:[Outros descontos]]))+Tabela2[[#This Row],[Valor da hora extra]]</f>
        <v>3005.090909090909</v>
      </c>
    </row>
    <row r="99" spans="1:11" ht="16.8" x14ac:dyDescent="0.4">
      <c r="A99" s="1" t="s">
        <v>26</v>
      </c>
      <c r="B99" s="6">
        <v>45597</v>
      </c>
      <c r="C99" s="7">
        <v>45627</v>
      </c>
      <c r="D99" s="5">
        <v>6</v>
      </c>
      <c r="E99" s="2">
        <f>VLOOKUP(Tabela2[[#This Row],[Funcionários]],'CADASTRO DE FUNCIONÁRIOS'!A:F,4,0)</f>
        <v>3000</v>
      </c>
      <c r="F99" s="2">
        <v>180</v>
      </c>
      <c r="G99" s="2">
        <v>300</v>
      </c>
      <c r="H99" s="2">
        <v>210</v>
      </c>
      <c r="I99" s="2">
        <v>112</v>
      </c>
      <c r="J99" s="2">
        <f>Tabela2[[#This Row],[Quantidade HE]]*VLOOKUP(Tabela2[[#This Row],[Funcionários]],'CADASTRO DE FUNCIONÁRIOS'!A:F,6,0)</f>
        <v>122.72727272727272</v>
      </c>
      <c r="K99" s="2">
        <f>Tabela2[[#This Row],[Salário bruto]]-(SUM(Tabela2[[#This Row],[Desconto transporte]:[Outros descontos]]))+Tabela2[[#This Row],[Valor da hora extra]]</f>
        <v>2320.7272727272725</v>
      </c>
    </row>
    <row r="100" spans="1:11" ht="16.8" x14ac:dyDescent="0.4">
      <c r="A100" s="1" t="s">
        <v>27</v>
      </c>
      <c r="B100" s="6">
        <v>45597</v>
      </c>
      <c r="C100" s="7">
        <v>45627</v>
      </c>
      <c r="D100" s="5">
        <v>3</v>
      </c>
      <c r="E100" s="2">
        <f>VLOOKUP(Tabela2[[#This Row],[Funcionários]],'CADASTRO DE FUNCIONÁRIOS'!A:F,4,0)</f>
        <v>2000</v>
      </c>
      <c r="F100" s="2">
        <v>120</v>
      </c>
      <c r="G100" s="2">
        <v>220</v>
      </c>
      <c r="H100" s="2">
        <v>200</v>
      </c>
      <c r="I100" s="2">
        <v>141</v>
      </c>
      <c r="J100" s="2">
        <f>Tabela2[[#This Row],[Quantidade HE]]*VLOOKUP(Tabela2[[#This Row],[Funcionários]],'CADASTRO DE FUNCIONÁRIOS'!A:F,6,0)</f>
        <v>0</v>
      </c>
      <c r="K100" s="2">
        <f>Tabela2[[#This Row],[Salário bruto]]-(SUM(Tabela2[[#This Row],[Desconto transporte]:[Outros descontos]]))+Tabela2[[#This Row],[Valor da hora extra]]</f>
        <v>1319</v>
      </c>
    </row>
    <row r="101" spans="1:11" ht="16.8" x14ac:dyDescent="0.4">
      <c r="A101" s="1" t="s">
        <v>28</v>
      </c>
      <c r="B101" s="6">
        <v>45597</v>
      </c>
      <c r="C101" s="7">
        <v>45627</v>
      </c>
      <c r="D101" s="5">
        <v>7</v>
      </c>
      <c r="E101" s="2">
        <f>VLOOKUP(Tabela2[[#This Row],[Funcionários]],'CADASTRO DE FUNCIONÁRIOS'!A:F,4,0)</f>
        <v>1000</v>
      </c>
      <c r="F101" s="2">
        <v>70</v>
      </c>
      <c r="G101" s="2">
        <v>120</v>
      </c>
      <c r="H101" s="2">
        <v>90</v>
      </c>
      <c r="I101" s="2">
        <v>113</v>
      </c>
      <c r="J101" s="2">
        <f>Tabela2[[#This Row],[Quantidade HE]]*VLOOKUP(Tabela2[[#This Row],[Funcionários]],'CADASTRO DE FUNCIONÁRIOS'!A:F,6,0)</f>
        <v>0</v>
      </c>
      <c r="K101" s="2">
        <f>Tabela2[[#This Row],[Salário bruto]]-(SUM(Tabela2[[#This Row],[Desconto transporte]:[Outros descontos]]))+Tabela2[[#This Row],[Valor da hora extra]]</f>
        <v>607</v>
      </c>
    </row>
    <row r="102" spans="1:11" ht="16.8" x14ac:dyDescent="0.4">
      <c r="A102" s="1" t="s">
        <v>29</v>
      </c>
      <c r="B102" s="6">
        <v>45597</v>
      </c>
      <c r="C102" s="7">
        <v>45627</v>
      </c>
      <c r="D102" s="5">
        <v>6</v>
      </c>
      <c r="E102" s="2">
        <f>VLOOKUP(Tabela2[[#This Row],[Funcionários]],'CADASTRO DE FUNCIONÁRIOS'!A:F,4,0)</f>
        <v>2400</v>
      </c>
      <c r="F102" s="2">
        <v>100</v>
      </c>
      <c r="G102" s="2">
        <v>220</v>
      </c>
      <c r="H102" s="2">
        <v>200</v>
      </c>
      <c r="I102" s="2">
        <v>110</v>
      </c>
      <c r="J102" s="2">
        <f>Tabela2[[#This Row],[Quantidade HE]]*VLOOKUP(Tabela2[[#This Row],[Funcionários]],'CADASTRO DE FUNCIONÁRIOS'!A:F,6,0)</f>
        <v>98.181818181818187</v>
      </c>
      <c r="K102" s="2">
        <f>Tabela2[[#This Row],[Salário bruto]]-(SUM(Tabela2[[#This Row],[Desconto transporte]:[Outros descontos]]))+Tabela2[[#This Row],[Valor da hora extra]]</f>
        <v>1868.1818181818182</v>
      </c>
    </row>
    <row r="103" spans="1:11" ht="16.8" x14ac:dyDescent="0.4">
      <c r="A103" s="1" t="s">
        <v>31</v>
      </c>
      <c r="B103" s="6">
        <v>45597</v>
      </c>
      <c r="C103" s="7">
        <v>45627</v>
      </c>
      <c r="D103" s="5">
        <v>4</v>
      </c>
      <c r="E103" s="2">
        <f>VLOOKUP(Tabela2[[#This Row],[Funcionários]],'CADASTRO DE FUNCIONÁRIOS'!A:F,4,0)</f>
        <v>1800</v>
      </c>
      <c r="F103" s="2">
        <v>150</v>
      </c>
      <c r="G103" s="2">
        <v>160</v>
      </c>
      <c r="H103" s="2">
        <v>215</v>
      </c>
      <c r="I103" s="2">
        <v>123</v>
      </c>
      <c r="J103" s="2">
        <f>Tabela2[[#This Row],[Quantidade HE]]*VLOOKUP(Tabela2[[#This Row],[Funcionários]],'CADASTRO DE FUNCIONÁRIOS'!A:F,6,0)</f>
        <v>49.090909090909093</v>
      </c>
      <c r="K103" s="2">
        <f>Tabela2[[#This Row],[Salário bruto]]-(SUM(Tabela2[[#This Row],[Desconto transporte]:[Outros descontos]]))+Tabela2[[#This Row],[Valor da hora extra]]</f>
        <v>1201.090909090909</v>
      </c>
    </row>
    <row r="104" spans="1:11" ht="16.8" x14ac:dyDescent="0.4">
      <c r="A104" s="1" t="s">
        <v>22</v>
      </c>
      <c r="B104" s="6">
        <v>45627</v>
      </c>
      <c r="C104" s="7">
        <v>45658</v>
      </c>
      <c r="D104" s="5">
        <v>5</v>
      </c>
      <c r="E104" s="2">
        <f>VLOOKUP(Tabela2[[#This Row],[Funcionários]],'CADASTRO DE FUNCIONÁRIOS'!A:F,4,0)</f>
        <v>20000</v>
      </c>
      <c r="F104" s="2">
        <v>1000</v>
      </c>
      <c r="G104" s="2">
        <v>2400</v>
      </c>
      <c r="H104" s="2">
        <v>1800</v>
      </c>
      <c r="I104" s="2">
        <v>156</v>
      </c>
      <c r="J104" s="2">
        <f>Tabela2[[#This Row],[Quantidade HE]]*VLOOKUP(Tabela2[[#This Row],[Funcionários]],'CADASTRO DE FUNCIONÁRIOS'!A:F,6,0)</f>
        <v>0</v>
      </c>
      <c r="K104" s="2">
        <f>Tabela2[[#This Row],[Salário bruto]]-(SUM(Tabela2[[#This Row],[Desconto transporte]:[Outros descontos]]))+Tabela2[[#This Row],[Valor da hora extra]]</f>
        <v>14644</v>
      </c>
    </row>
    <row r="105" spans="1:11" ht="16.8" x14ac:dyDescent="0.4">
      <c r="A105" s="1" t="s">
        <v>23</v>
      </c>
      <c r="B105" s="6">
        <v>45627</v>
      </c>
      <c r="C105" s="7">
        <v>45658</v>
      </c>
      <c r="D105" s="5">
        <v>4</v>
      </c>
      <c r="E105" s="2">
        <f>VLOOKUP(Tabela2[[#This Row],[Funcionários]],'CADASTRO DE FUNCIONÁRIOS'!A:F,4,0)</f>
        <v>8000</v>
      </c>
      <c r="F105" s="2">
        <v>560</v>
      </c>
      <c r="G105" s="2">
        <v>960</v>
      </c>
      <c r="H105" s="2">
        <v>640</v>
      </c>
      <c r="I105" s="2">
        <v>133</v>
      </c>
      <c r="J105" s="2">
        <f>Tabela2[[#This Row],[Quantidade HE]]*VLOOKUP(Tabela2[[#This Row],[Funcionários]],'CADASTRO DE FUNCIONÁRIOS'!A:F,6,0)</f>
        <v>218.18181818181819</v>
      </c>
      <c r="K105" s="2">
        <f>Tabela2[[#This Row],[Salário bruto]]-(SUM(Tabela2[[#This Row],[Desconto transporte]:[Outros descontos]]))+Tabela2[[#This Row],[Valor da hora extra]]</f>
        <v>5925.181818181818</v>
      </c>
    </row>
    <row r="106" spans="1:11" ht="16.8" x14ac:dyDescent="0.4">
      <c r="A106" s="1" t="s">
        <v>24</v>
      </c>
      <c r="B106" s="6">
        <v>45627</v>
      </c>
      <c r="C106" s="7">
        <v>45658</v>
      </c>
      <c r="D106" s="5">
        <v>2</v>
      </c>
      <c r="E106" s="2">
        <f>VLOOKUP(Tabela2[[#This Row],[Funcionários]],'CADASTRO DE FUNCIONÁRIOS'!A:F,4,0)</f>
        <v>6500</v>
      </c>
      <c r="F106" s="2">
        <v>390</v>
      </c>
      <c r="G106" s="2">
        <v>715</v>
      </c>
      <c r="H106" s="2">
        <v>650</v>
      </c>
      <c r="I106" s="2">
        <v>142</v>
      </c>
      <c r="J106" s="2">
        <f>Tabela2[[#This Row],[Quantidade HE]]*VLOOKUP(Tabela2[[#This Row],[Funcionários]],'CADASTRO DE FUNCIONÁRIOS'!A:F,6,0)</f>
        <v>88.63636363636364</v>
      </c>
      <c r="K106" s="2">
        <f>Tabela2[[#This Row],[Salário bruto]]-(SUM(Tabela2[[#This Row],[Desconto transporte]:[Outros descontos]]))+Tabela2[[#This Row],[Valor da hora extra]]</f>
        <v>4691.636363636364</v>
      </c>
    </row>
    <row r="107" spans="1:11" ht="16.8" x14ac:dyDescent="0.4">
      <c r="A107" s="1" t="s">
        <v>25</v>
      </c>
      <c r="B107" s="6">
        <v>45627</v>
      </c>
      <c r="C107" s="7">
        <v>45658</v>
      </c>
      <c r="D107" s="5">
        <v>6</v>
      </c>
      <c r="E107" s="2">
        <f>VLOOKUP(Tabela2[[#This Row],[Funcionários]],'CADASTRO DE FUNCIONÁRIOS'!A:F,4,0)</f>
        <v>4000</v>
      </c>
      <c r="F107" s="2">
        <v>240</v>
      </c>
      <c r="G107" s="2">
        <v>480</v>
      </c>
      <c r="H107" s="2">
        <v>280</v>
      </c>
      <c r="I107" s="2">
        <v>152</v>
      </c>
      <c r="J107" s="2">
        <f>Tabela2[[#This Row],[Quantidade HE]]*VLOOKUP(Tabela2[[#This Row],[Funcionários]],'CADASTRO DE FUNCIONÁRIOS'!A:F,6,0)</f>
        <v>163.63636363636363</v>
      </c>
      <c r="K107" s="2">
        <f>Tabela2[[#This Row],[Salário bruto]]-(SUM(Tabela2[[#This Row],[Desconto transporte]:[Outros descontos]]))+Tabela2[[#This Row],[Valor da hora extra]]</f>
        <v>3011.6363636363635</v>
      </c>
    </row>
    <row r="108" spans="1:11" ht="16.8" x14ac:dyDescent="0.4">
      <c r="A108" s="1" t="s">
        <v>26</v>
      </c>
      <c r="B108" s="6">
        <v>45627</v>
      </c>
      <c r="C108" s="7">
        <v>45658</v>
      </c>
      <c r="D108" s="5">
        <v>1</v>
      </c>
      <c r="E108" s="2">
        <f>VLOOKUP(Tabela2[[#This Row],[Funcionários]],'CADASTRO DE FUNCIONÁRIOS'!A:F,4,0)</f>
        <v>3000</v>
      </c>
      <c r="F108" s="2">
        <v>180</v>
      </c>
      <c r="G108" s="2">
        <v>300</v>
      </c>
      <c r="H108" s="2">
        <v>210</v>
      </c>
      <c r="I108" s="2">
        <v>147</v>
      </c>
      <c r="J108" s="2">
        <f>Tabela2[[#This Row],[Quantidade HE]]*VLOOKUP(Tabela2[[#This Row],[Funcionários]],'CADASTRO DE FUNCIONÁRIOS'!A:F,6,0)</f>
        <v>20.454545454545453</v>
      </c>
      <c r="K108" s="2">
        <f>Tabela2[[#This Row],[Salário bruto]]-(SUM(Tabela2[[#This Row],[Desconto transporte]:[Outros descontos]]))+Tabela2[[#This Row],[Valor da hora extra]]</f>
        <v>2183.4545454545455</v>
      </c>
    </row>
    <row r="109" spans="1:11" ht="16.8" x14ac:dyDescent="0.4">
      <c r="A109" s="1" t="s">
        <v>27</v>
      </c>
      <c r="B109" s="6">
        <v>45627</v>
      </c>
      <c r="C109" s="7">
        <v>45658</v>
      </c>
      <c r="D109" s="5">
        <v>6</v>
      </c>
      <c r="E109" s="2">
        <f>VLOOKUP(Tabela2[[#This Row],[Funcionários]],'CADASTRO DE FUNCIONÁRIOS'!A:F,4,0)</f>
        <v>2000</v>
      </c>
      <c r="F109" s="2">
        <v>120</v>
      </c>
      <c r="G109" s="2">
        <v>220</v>
      </c>
      <c r="H109" s="2">
        <v>200</v>
      </c>
      <c r="I109" s="2">
        <v>152</v>
      </c>
      <c r="J109" s="2">
        <f>Tabela2[[#This Row],[Quantidade HE]]*VLOOKUP(Tabela2[[#This Row],[Funcionários]],'CADASTRO DE FUNCIONÁRIOS'!A:F,6,0)</f>
        <v>0</v>
      </c>
      <c r="K109" s="2">
        <f>Tabela2[[#This Row],[Salário bruto]]-(SUM(Tabela2[[#This Row],[Desconto transporte]:[Outros descontos]]))+Tabela2[[#This Row],[Valor da hora extra]]</f>
        <v>1308</v>
      </c>
    </row>
    <row r="110" spans="1:11" ht="16.8" x14ac:dyDescent="0.4">
      <c r="A110" s="1" t="s">
        <v>28</v>
      </c>
      <c r="B110" s="6">
        <v>45627</v>
      </c>
      <c r="C110" s="7">
        <v>45658</v>
      </c>
      <c r="D110" s="5">
        <v>0</v>
      </c>
      <c r="E110" s="2">
        <f>VLOOKUP(Tabela2[[#This Row],[Funcionários]],'CADASTRO DE FUNCIONÁRIOS'!A:F,4,0)</f>
        <v>1000</v>
      </c>
      <c r="F110" s="2">
        <v>70</v>
      </c>
      <c r="G110" s="2">
        <v>120</v>
      </c>
      <c r="H110" s="2">
        <v>90</v>
      </c>
      <c r="I110" s="2">
        <v>149</v>
      </c>
      <c r="J110" s="2">
        <f>Tabela2[[#This Row],[Quantidade HE]]*VLOOKUP(Tabela2[[#This Row],[Funcionários]],'CADASTRO DE FUNCIONÁRIOS'!A:F,6,0)</f>
        <v>0</v>
      </c>
      <c r="K110" s="2">
        <f>Tabela2[[#This Row],[Salário bruto]]-(SUM(Tabela2[[#This Row],[Desconto transporte]:[Outros descontos]]))+Tabela2[[#This Row],[Valor da hora extra]]</f>
        <v>571</v>
      </c>
    </row>
    <row r="111" spans="1:11" ht="16.8" x14ac:dyDescent="0.4">
      <c r="A111" s="1" t="s">
        <v>29</v>
      </c>
      <c r="B111" s="6">
        <v>45627</v>
      </c>
      <c r="C111" s="7">
        <v>45658</v>
      </c>
      <c r="D111" s="5">
        <v>5</v>
      </c>
      <c r="E111" s="2">
        <f>VLOOKUP(Tabela2[[#This Row],[Funcionários]],'CADASTRO DE FUNCIONÁRIOS'!A:F,4,0)</f>
        <v>2400</v>
      </c>
      <c r="F111" s="2">
        <v>100</v>
      </c>
      <c r="G111" s="2">
        <v>220</v>
      </c>
      <c r="H111" s="2">
        <v>200</v>
      </c>
      <c r="I111" s="2">
        <v>125</v>
      </c>
      <c r="J111" s="2">
        <f>Tabela2[[#This Row],[Quantidade HE]]*VLOOKUP(Tabela2[[#This Row],[Funcionários]],'CADASTRO DE FUNCIONÁRIOS'!A:F,6,0)</f>
        <v>81.818181818181813</v>
      </c>
      <c r="K111" s="2">
        <f>Tabela2[[#This Row],[Salário bruto]]-(SUM(Tabela2[[#This Row],[Desconto transporte]:[Outros descontos]]))+Tabela2[[#This Row],[Valor da hora extra]]</f>
        <v>1836.8181818181818</v>
      </c>
    </row>
    <row r="112" spans="1:11" ht="16.8" x14ac:dyDescent="0.4">
      <c r="A112" s="1" t="s">
        <v>31</v>
      </c>
      <c r="B112" s="6">
        <v>45627</v>
      </c>
      <c r="C112" s="7">
        <v>45658</v>
      </c>
      <c r="D112" s="5">
        <v>5</v>
      </c>
      <c r="E112" s="2">
        <f>VLOOKUP(Tabela2[[#This Row],[Funcionários]],'CADASTRO DE FUNCIONÁRIOS'!A:F,4,0)</f>
        <v>1800</v>
      </c>
      <c r="F112" s="2">
        <v>150</v>
      </c>
      <c r="G112" s="2">
        <v>160</v>
      </c>
      <c r="H112" s="2">
        <v>215</v>
      </c>
      <c r="I112" s="2">
        <v>131</v>
      </c>
      <c r="J112" s="2">
        <f>Tabela2[[#This Row],[Quantidade HE]]*VLOOKUP(Tabela2[[#This Row],[Funcionários]],'CADASTRO DE FUNCIONÁRIOS'!A:F,6,0)</f>
        <v>61.363636363636367</v>
      </c>
      <c r="K112" s="2">
        <f>Tabela2[[#This Row],[Salário bruto]]-(SUM(Tabela2[[#This Row],[Desconto transporte]:[Outros descontos]]))+Tabela2[[#This Row],[Valor da hora extra]]</f>
        <v>1205.3636363636363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A7B9-65A3-47F7-8AD7-8C91E9581F67}">
  <dimension ref="T8:U16"/>
  <sheetViews>
    <sheetView showGridLines="0" showRowColHeaders="0" workbookViewId="0"/>
  </sheetViews>
  <sheetFormatPr defaultRowHeight="14.4" x14ac:dyDescent="0.3"/>
  <cols>
    <col min="21" max="21" width="11.5546875" bestFit="1" customWidth="1"/>
  </cols>
  <sheetData>
    <row r="8" spans="20:21" ht="15.6" x14ac:dyDescent="0.3">
      <c r="U8" s="22"/>
    </row>
    <row r="16" spans="20:21" x14ac:dyDescent="0.3">
      <c r="T16" s="21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3A2C6-0FAD-43C8-B320-EF11DD52CABF}">
  <dimension ref="A3:B106"/>
  <sheetViews>
    <sheetView workbookViewId="0">
      <selection activeCell="B4" sqref="B4"/>
    </sheetView>
  </sheetViews>
  <sheetFormatPr defaultRowHeight="14.4" x14ac:dyDescent="0.3"/>
  <cols>
    <col min="1" max="1" width="10" bestFit="1" customWidth="1"/>
    <col min="2" max="2" width="20.88671875" bestFit="1" customWidth="1"/>
    <col min="3" max="3" width="24.33203125" bestFit="1" customWidth="1"/>
    <col min="4" max="4" width="21" bestFit="1" customWidth="1"/>
    <col min="5" max="5" width="23.33203125" bestFit="1" customWidth="1"/>
  </cols>
  <sheetData>
    <row r="3" spans="1:2" x14ac:dyDescent="0.3">
      <c r="A3" s="15" t="s">
        <v>58</v>
      </c>
      <c r="B3" t="s">
        <v>57</v>
      </c>
    </row>
    <row r="4" spans="1:2" x14ac:dyDescent="0.3">
      <c r="A4" s="18" t="s">
        <v>45</v>
      </c>
      <c r="B4" s="19">
        <v>35377.090909090912</v>
      </c>
    </row>
    <row r="5" spans="1:2" x14ac:dyDescent="0.3">
      <c r="A5" s="18" t="s">
        <v>46</v>
      </c>
      <c r="B5" s="19">
        <v>35454.818181818177</v>
      </c>
    </row>
    <row r="6" spans="1:2" x14ac:dyDescent="0.3">
      <c r="A6" s="18" t="s">
        <v>47</v>
      </c>
      <c r="B6" s="19">
        <v>35399.590909090912</v>
      </c>
    </row>
    <row r="7" spans="1:2" x14ac:dyDescent="0.3">
      <c r="A7" s="18" t="s">
        <v>48</v>
      </c>
      <c r="B7" s="19">
        <v>35560.545454545456</v>
      </c>
    </row>
    <row r="8" spans="1:2" x14ac:dyDescent="0.3">
      <c r="A8" s="18" t="s">
        <v>49</v>
      </c>
      <c r="B8" s="19">
        <v>35532.818181818177</v>
      </c>
    </row>
    <row r="9" spans="1:2" x14ac:dyDescent="0.3">
      <c r="A9" s="18" t="s">
        <v>50</v>
      </c>
      <c r="B9" s="19">
        <v>35569.909090909096</v>
      </c>
    </row>
    <row r="10" spans="1:2" x14ac:dyDescent="0.3">
      <c r="A10" s="18" t="s">
        <v>51</v>
      </c>
      <c r="B10" s="19">
        <v>35917.590909090904</v>
      </c>
    </row>
    <row r="11" spans="1:2" x14ac:dyDescent="0.3">
      <c r="A11" s="18" t="s">
        <v>52</v>
      </c>
      <c r="B11" s="19">
        <v>35745.590909090912</v>
      </c>
    </row>
    <row r="12" spans="1:2" x14ac:dyDescent="0.3">
      <c r="A12" s="18" t="s">
        <v>53</v>
      </c>
      <c r="B12" s="19">
        <v>35639.545454545456</v>
      </c>
    </row>
    <row r="13" spans="1:2" x14ac:dyDescent="0.3">
      <c r="A13" s="18" t="s">
        <v>54</v>
      </c>
      <c r="B13" s="19">
        <v>35410.954545454544</v>
      </c>
    </row>
    <row r="14" spans="1:2" x14ac:dyDescent="0.3">
      <c r="A14" s="18" t="s">
        <v>55</v>
      </c>
      <c r="B14" s="19">
        <v>35122.909090909096</v>
      </c>
    </row>
    <row r="15" spans="1:2" x14ac:dyDescent="0.3">
      <c r="A15" s="18" t="s">
        <v>56</v>
      </c>
      <c r="B15" s="19">
        <v>35569.272727272728</v>
      </c>
    </row>
    <row r="16" spans="1:2" x14ac:dyDescent="0.3">
      <c r="A16" s="16" t="s">
        <v>44</v>
      </c>
      <c r="B16" s="3">
        <v>426300.63636363641</v>
      </c>
    </row>
    <row r="19" spans="1:2" x14ac:dyDescent="0.3">
      <c r="A19" s="15" t="s">
        <v>34</v>
      </c>
      <c r="B19" s="3" t="s">
        <v>57</v>
      </c>
    </row>
    <row r="20" spans="1:2" x14ac:dyDescent="0.3">
      <c r="A20" s="16" t="s">
        <v>23</v>
      </c>
      <c r="B20" s="20">
        <v>71273.272727272735</v>
      </c>
    </row>
    <row r="21" spans="1:2" x14ac:dyDescent="0.3">
      <c r="A21" s="16" t="s">
        <v>22</v>
      </c>
      <c r="B21" s="20">
        <v>175934</v>
      </c>
    </row>
    <row r="22" spans="1:2" x14ac:dyDescent="0.3">
      <c r="A22" s="16" t="s">
        <v>25</v>
      </c>
      <c r="B22" s="20">
        <v>35756.090909090912</v>
      </c>
    </row>
    <row r="23" spans="1:2" x14ac:dyDescent="0.3">
      <c r="A23" s="16" t="s">
        <v>31</v>
      </c>
      <c r="B23" s="20">
        <v>14193.727272727272</v>
      </c>
    </row>
    <row r="24" spans="1:2" x14ac:dyDescent="0.3">
      <c r="A24" s="16" t="s">
        <v>26</v>
      </c>
      <c r="B24" s="20">
        <v>27105.909090909092</v>
      </c>
    </row>
    <row r="25" spans="1:2" x14ac:dyDescent="0.3">
      <c r="A25" s="16" t="s">
        <v>28</v>
      </c>
      <c r="B25" s="20">
        <v>7079</v>
      </c>
    </row>
    <row r="26" spans="1:2" x14ac:dyDescent="0.3">
      <c r="A26" s="16" t="s">
        <v>29</v>
      </c>
      <c r="B26" s="20">
        <v>21920.909090909088</v>
      </c>
    </row>
    <row r="27" spans="1:2" x14ac:dyDescent="0.3">
      <c r="A27" s="16" t="s">
        <v>24</v>
      </c>
      <c r="B27" s="20">
        <v>57107.727272727279</v>
      </c>
    </row>
    <row r="28" spans="1:2" x14ac:dyDescent="0.3">
      <c r="A28" s="16" t="s">
        <v>27</v>
      </c>
      <c r="B28" s="20">
        <v>15930</v>
      </c>
    </row>
    <row r="29" spans="1:2" x14ac:dyDescent="0.3">
      <c r="A29" s="16" t="s">
        <v>44</v>
      </c>
      <c r="B29" s="3">
        <v>426300.63636363647</v>
      </c>
    </row>
    <row r="32" spans="1:2" x14ac:dyDescent="0.3">
      <c r="A32" s="15" t="s">
        <v>34</v>
      </c>
      <c r="B32" t="s">
        <v>59</v>
      </c>
    </row>
    <row r="33" spans="1:2" x14ac:dyDescent="0.3">
      <c r="A33" s="16" t="s">
        <v>23</v>
      </c>
      <c r="B33" s="17">
        <v>50</v>
      </c>
    </row>
    <row r="34" spans="1:2" x14ac:dyDescent="0.3">
      <c r="A34" s="16" t="s">
        <v>22</v>
      </c>
      <c r="B34" s="17">
        <v>44</v>
      </c>
    </row>
    <row r="35" spans="1:2" x14ac:dyDescent="0.3">
      <c r="A35" s="16" t="s">
        <v>25</v>
      </c>
      <c r="B35" s="17">
        <v>48</v>
      </c>
    </row>
    <row r="36" spans="1:2" x14ac:dyDescent="0.3">
      <c r="A36" s="16" t="s">
        <v>31</v>
      </c>
      <c r="B36" s="17">
        <v>43</v>
      </c>
    </row>
    <row r="37" spans="1:2" x14ac:dyDescent="0.3">
      <c r="A37" s="16" t="s">
        <v>26</v>
      </c>
      <c r="B37" s="17">
        <v>46</v>
      </c>
    </row>
    <row r="38" spans="1:2" x14ac:dyDescent="0.3">
      <c r="A38" s="16" t="s">
        <v>28</v>
      </c>
      <c r="B38" s="17">
        <v>42</v>
      </c>
    </row>
    <row r="39" spans="1:2" x14ac:dyDescent="0.3">
      <c r="A39" s="16" t="s">
        <v>29</v>
      </c>
      <c r="B39" s="17">
        <v>52</v>
      </c>
    </row>
    <row r="40" spans="1:2" x14ac:dyDescent="0.3">
      <c r="A40" s="16" t="s">
        <v>24</v>
      </c>
      <c r="B40" s="17">
        <v>40</v>
      </c>
    </row>
    <row r="41" spans="1:2" x14ac:dyDescent="0.3">
      <c r="A41" s="16" t="s">
        <v>27</v>
      </c>
      <c r="B41" s="17">
        <v>44</v>
      </c>
    </row>
    <row r="42" spans="1:2" x14ac:dyDescent="0.3">
      <c r="A42" s="16" t="s">
        <v>44</v>
      </c>
      <c r="B42" s="17">
        <v>409</v>
      </c>
    </row>
    <row r="45" spans="1:2" x14ac:dyDescent="0.3">
      <c r="A45" s="15" t="s">
        <v>58</v>
      </c>
      <c r="B45" t="s">
        <v>60</v>
      </c>
    </row>
    <row r="46" spans="1:2" x14ac:dyDescent="0.3">
      <c r="A46" s="16" t="s">
        <v>45</v>
      </c>
      <c r="B46" s="3">
        <v>4285</v>
      </c>
    </row>
    <row r="47" spans="1:2" x14ac:dyDescent="0.3">
      <c r="A47" s="16" t="s">
        <v>46</v>
      </c>
      <c r="B47" s="3">
        <v>4285</v>
      </c>
    </row>
    <row r="48" spans="1:2" x14ac:dyDescent="0.3">
      <c r="A48" s="16" t="s">
        <v>47</v>
      </c>
      <c r="B48" s="3">
        <v>4285</v>
      </c>
    </row>
    <row r="49" spans="1:2" x14ac:dyDescent="0.3">
      <c r="A49" s="16" t="s">
        <v>48</v>
      </c>
      <c r="B49" s="3">
        <v>4285</v>
      </c>
    </row>
    <row r="50" spans="1:2" x14ac:dyDescent="0.3">
      <c r="A50" s="16" t="s">
        <v>49</v>
      </c>
      <c r="B50" s="3">
        <v>4285</v>
      </c>
    </row>
    <row r="51" spans="1:2" x14ac:dyDescent="0.3">
      <c r="A51" s="16" t="s">
        <v>50</v>
      </c>
      <c r="B51" s="3">
        <v>4285</v>
      </c>
    </row>
    <row r="52" spans="1:2" x14ac:dyDescent="0.3">
      <c r="A52" s="16" t="s">
        <v>51</v>
      </c>
      <c r="B52" s="3">
        <v>4285</v>
      </c>
    </row>
    <row r="53" spans="1:2" x14ac:dyDescent="0.3">
      <c r="A53" s="16" t="s">
        <v>52</v>
      </c>
      <c r="B53" s="3">
        <v>4285</v>
      </c>
    </row>
    <row r="54" spans="1:2" x14ac:dyDescent="0.3">
      <c r="A54" s="16" t="s">
        <v>53</v>
      </c>
      <c r="B54" s="3">
        <v>4285</v>
      </c>
    </row>
    <row r="55" spans="1:2" x14ac:dyDescent="0.3">
      <c r="A55" s="16" t="s">
        <v>54</v>
      </c>
      <c r="B55" s="3">
        <v>4285</v>
      </c>
    </row>
    <row r="56" spans="1:2" x14ac:dyDescent="0.3">
      <c r="A56" s="16" t="s">
        <v>55</v>
      </c>
      <c r="B56" s="3">
        <v>4285</v>
      </c>
    </row>
    <row r="57" spans="1:2" x14ac:dyDescent="0.3">
      <c r="A57" s="16" t="s">
        <v>56</v>
      </c>
      <c r="B57" s="3">
        <v>4285</v>
      </c>
    </row>
    <row r="58" spans="1:2" x14ac:dyDescent="0.3">
      <c r="A58" s="16" t="s">
        <v>44</v>
      </c>
      <c r="B58" s="3">
        <v>51420</v>
      </c>
    </row>
    <row r="61" spans="1:2" x14ac:dyDescent="0.3">
      <c r="A61" s="15" t="s">
        <v>58</v>
      </c>
      <c r="B61" t="s">
        <v>61</v>
      </c>
    </row>
    <row r="62" spans="1:2" x14ac:dyDescent="0.3">
      <c r="A62" s="16" t="s">
        <v>45</v>
      </c>
      <c r="B62" s="3">
        <v>5575</v>
      </c>
    </row>
    <row r="63" spans="1:2" x14ac:dyDescent="0.3">
      <c r="A63" s="16" t="s">
        <v>46</v>
      </c>
      <c r="B63" s="3">
        <v>5575</v>
      </c>
    </row>
    <row r="64" spans="1:2" x14ac:dyDescent="0.3">
      <c r="A64" s="16" t="s">
        <v>47</v>
      </c>
      <c r="B64" s="3">
        <v>5575</v>
      </c>
    </row>
    <row r="65" spans="1:2" x14ac:dyDescent="0.3">
      <c r="A65" s="16" t="s">
        <v>48</v>
      </c>
      <c r="B65" s="3">
        <v>5575</v>
      </c>
    </row>
    <row r="66" spans="1:2" x14ac:dyDescent="0.3">
      <c r="A66" s="16" t="s">
        <v>49</v>
      </c>
      <c r="B66" s="3">
        <v>5575</v>
      </c>
    </row>
    <row r="67" spans="1:2" x14ac:dyDescent="0.3">
      <c r="A67" s="16" t="s">
        <v>50</v>
      </c>
      <c r="B67" s="3">
        <v>5575</v>
      </c>
    </row>
    <row r="68" spans="1:2" x14ac:dyDescent="0.3">
      <c r="A68" s="16" t="s">
        <v>51</v>
      </c>
      <c r="B68" s="3">
        <v>5575</v>
      </c>
    </row>
    <row r="69" spans="1:2" x14ac:dyDescent="0.3">
      <c r="A69" s="16" t="s">
        <v>52</v>
      </c>
      <c r="B69" s="3">
        <v>5575</v>
      </c>
    </row>
    <row r="70" spans="1:2" x14ac:dyDescent="0.3">
      <c r="A70" s="16" t="s">
        <v>53</v>
      </c>
      <c r="B70" s="3">
        <v>5575</v>
      </c>
    </row>
    <row r="71" spans="1:2" x14ac:dyDescent="0.3">
      <c r="A71" s="16" t="s">
        <v>54</v>
      </c>
      <c r="B71" s="3">
        <v>5575</v>
      </c>
    </row>
    <row r="72" spans="1:2" x14ac:dyDescent="0.3">
      <c r="A72" s="16" t="s">
        <v>55</v>
      </c>
      <c r="B72" s="3">
        <v>5575</v>
      </c>
    </row>
    <row r="73" spans="1:2" x14ac:dyDescent="0.3">
      <c r="A73" s="16" t="s">
        <v>56</v>
      </c>
      <c r="B73" s="3">
        <v>5575</v>
      </c>
    </row>
    <row r="74" spans="1:2" x14ac:dyDescent="0.3">
      <c r="A74" s="16" t="s">
        <v>44</v>
      </c>
      <c r="B74" s="3">
        <v>66900</v>
      </c>
    </row>
    <row r="77" spans="1:2" x14ac:dyDescent="0.3">
      <c r="A77" s="15" t="s">
        <v>58</v>
      </c>
      <c r="B77" t="s">
        <v>62</v>
      </c>
    </row>
    <row r="78" spans="1:2" x14ac:dyDescent="0.3">
      <c r="A78" s="16" t="s">
        <v>45</v>
      </c>
      <c r="B78" s="3">
        <v>2810</v>
      </c>
    </row>
    <row r="79" spans="1:2" x14ac:dyDescent="0.3">
      <c r="A79" s="16" t="s">
        <v>46</v>
      </c>
      <c r="B79" s="3">
        <v>2810</v>
      </c>
    </row>
    <row r="80" spans="1:2" x14ac:dyDescent="0.3">
      <c r="A80" s="16" t="s">
        <v>47</v>
      </c>
      <c r="B80" s="3">
        <v>2810</v>
      </c>
    </row>
    <row r="81" spans="1:2" x14ac:dyDescent="0.3">
      <c r="A81" s="16" t="s">
        <v>48</v>
      </c>
      <c r="B81" s="3">
        <v>2810</v>
      </c>
    </row>
    <row r="82" spans="1:2" x14ac:dyDescent="0.3">
      <c r="A82" s="16" t="s">
        <v>49</v>
      </c>
      <c r="B82" s="3">
        <v>2810</v>
      </c>
    </row>
    <row r="83" spans="1:2" x14ac:dyDescent="0.3">
      <c r="A83" s="16" t="s">
        <v>50</v>
      </c>
      <c r="B83" s="3">
        <v>2810</v>
      </c>
    </row>
    <row r="84" spans="1:2" x14ac:dyDescent="0.3">
      <c r="A84" s="16" t="s">
        <v>51</v>
      </c>
      <c r="B84" s="3">
        <v>2810</v>
      </c>
    </row>
    <row r="85" spans="1:2" x14ac:dyDescent="0.3">
      <c r="A85" s="16" t="s">
        <v>52</v>
      </c>
      <c r="B85" s="3">
        <v>2810</v>
      </c>
    </row>
    <row r="86" spans="1:2" x14ac:dyDescent="0.3">
      <c r="A86" s="16" t="s">
        <v>53</v>
      </c>
      <c r="B86" s="3">
        <v>2810</v>
      </c>
    </row>
    <row r="87" spans="1:2" x14ac:dyDescent="0.3">
      <c r="A87" s="16" t="s">
        <v>54</v>
      </c>
      <c r="B87" s="3">
        <v>2810</v>
      </c>
    </row>
    <row r="88" spans="1:2" x14ac:dyDescent="0.3">
      <c r="A88" s="16" t="s">
        <v>55</v>
      </c>
      <c r="B88" s="3">
        <v>2810</v>
      </c>
    </row>
    <row r="89" spans="1:2" x14ac:dyDescent="0.3">
      <c r="A89" s="16" t="s">
        <v>56</v>
      </c>
      <c r="B89" s="3">
        <v>2810</v>
      </c>
    </row>
    <row r="90" spans="1:2" x14ac:dyDescent="0.3">
      <c r="A90" s="16" t="s">
        <v>44</v>
      </c>
      <c r="B90" s="3">
        <v>33720</v>
      </c>
    </row>
    <row r="93" spans="1:2" x14ac:dyDescent="0.3">
      <c r="A93" s="15" t="s">
        <v>58</v>
      </c>
      <c r="B93" t="s">
        <v>66</v>
      </c>
    </row>
    <row r="94" spans="1:2" x14ac:dyDescent="0.3">
      <c r="A94" s="16" t="s">
        <v>67</v>
      </c>
      <c r="B94" s="3">
        <v>13852</v>
      </c>
    </row>
    <row r="95" spans="1:2" x14ac:dyDescent="0.3">
      <c r="A95" s="16" t="s">
        <v>68</v>
      </c>
      <c r="B95" s="3">
        <v>13927</v>
      </c>
    </row>
    <row r="96" spans="1:2" x14ac:dyDescent="0.3">
      <c r="A96" s="16" t="s">
        <v>69</v>
      </c>
      <c r="B96" s="3">
        <v>13839</v>
      </c>
    </row>
    <row r="97" spans="1:2" x14ac:dyDescent="0.3">
      <c r="A97" s="16" t="s">
        <v>63</v>
      </c>
      <c r="B97" s="3">
        <v>13939</v>
      </c>
    </row>
    <row r="98" spans="1:2" x14ac:dyDescent="0.3">
      <c r="A98" s="16" t="s">
        <v>64</v>
      </c>
      <c r="B98" s="3">
        <v>13831</v>
      </c>
    </row>
    <row r="99" spans="1:2" x14ac:dyDescent="0.3">
      <c r="A99" s="16" t="s">
        <v>65</v>
      </c>
      <c r="B99" s="3">
        <v>13769</v>
      </c>
    </row>
    <row r="100" spans="1:2" x14ac:dyDescent="0.3">
      <c r="A100" s="16" t="s">
        <v>70</v>
      </c>
      <c r="B100" s="3">
        <v>13851</v>
      </c>
    </row>
    <row r="101" spans="1:2" x14ac:dyDescent="0.3">
      <c r="A101" s="16" t="s">
        <v>71</v>
      </c>
      <c r="B101" s="3">
        <v>13865</v>
      </c>
    </row>
    <row r="102" spans="1:2" x14ac:dyDescent="0.3">
      <c r="A102" s="16" t="s">
        <v>72</v>
      </c>
      <c r="B102" s="3">
        <v>13797</v>
      </c>
    </row>
    <row r="103" spans="1:2" x14ac:dyDescent="0.3">
      <c r="A103" s="16" t="s">
        <v>73</v>
      </c>
      <c r="B103" s="3">
        <v>13873</v>
      </c>
    </row>
    <row r="104" spans="1:2" x14ac:dyDescent="0.3">
      <c r="A104" s="16" t="s">
        <v>74</v>
      </c>
      <c r="B104" s="3">
        <v>13728</v>
      </c>
    </row>
    <row r="105" spans="1:2" x14ac:dyDescent="0.3">
      <c r="A105" s="16" t="s">
        <v>75</v>
      </c>
      <c r="B105" s="3">
        <v>13957</v>
      </c>
    </row>
    <row r="106" spans="1:2" x14ac:dyDescent="0.3">
      <c r="A106" s="16" t="s">
        <v>44</v>
      </c>
      <c r="B106" s="3">
        <v>166228</v>
      </c>
    </row>
  </sheetData>
  <pageMargins left="0.511811024" right="0.511811024" top="0.78740157499999996" bottom="0.78740157499999996" header="0.31496062000000002" footer="0.31496062000000002"/>
  <pageSetup paperSize="9"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CADASTRO DE FUNCIONÁRIOS</vt:lpstr>
      <vt:lpstr>CÁLCULO</vt:lpstr>
      <vt:lpstr>DASHBOARD</vt:lpstr>
      <vt:lpstr>GRÁFICOS</vt:lpstr>
      <vt:lpstr>Cadastro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Marcele da Rocha Teixeira</dc:creator>
  <cp:lastModifiedBy>Marcele da Rocha Teixeira</cp:lastModifiedBy>
  <dcterms:created xsi:type="dcterms:W3CDTF">2025-12-11T22:08:07Z</dcterms:created>
  <dcterms:modified xsi:type="dcterms:W3CDTF">2025-12-28T21:57:33Z</dcterms:modified>
</cp:coreProperties>
</file>